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prabawikan/Wikan/Projek-Vastech/CavaPOS/storage/app/templates/"/>
    </mc:Choice>
  </mc:AlternateContent>
  <xr:revisionPtr revIDLastSave="0" documentId="13_ncr:1_{2BB88F33-C598-2E49-9108-9E68EBDDD943}" xr6:coauthVersionLast="47" xr6:coauthVersionMax="47" xr10:uidLastSave="{00000000-0000-0000-0000-000000000000}"/>
  <bookViews>
    <workbookView xWindow="0" yWindow="860" windowWidth="34200" windowHeight="21380" activeTab="1" xr2:uid="{A80FE81A-73F8-D94E-A992-624F2A7F1947}"/>
  </bookViews>
  <sheets>
    <sheet name="Sheet1" sheetId="1" r:id="rId1"/>
    <sheet name="data" sheetId="3" r:id="rId2"/>
    <sheet name="grafik" sheetId="4" r:id="rId3"/>
  </sheets>
  <definedNames>
    <definedName name="_xlcn.WorksheetConnection_templateexcel.xlsxTable11" hidden="1">Table1[]</definedName>
    <definedName name="Slicer_Kategori">#N/A</definedName>
    <definedName name="Slicer_Years">#N/A</definedName>
  </definedNames>
  <calcPr calcId="191029"/>
  <pivotCaches>
    <pivotCache cacheId="29" r:id="rId4"/>
    <pivotCache cacheId="3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emplate-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 i="4" l="1"/>
  <c r="I13" i="4"/>
  <c r="H10" i="4"/>
  <c r="C1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C445F6-7985-486E-8654-37C96129230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4743C4F-AF04-4E60-A5F2-CA72384FA389}" name="WorksheetConnection_template-excel.xlsx!Table1" type="102" refreshedVersion="8" minRefreshableVersion="5">
    <extLst>
      <ext xmlns:x15="http://schemas.microsoft.com/office/spreadsheetml/2010/11/main" uri="{DE250136-89BD-433C-8126-D09CA5730AF9}">
        <x15:connection id="Table1" autoDelete="1">
          <x15:rangePr sourceName="_xlcn.WorksheetConnection_templateexcel.xlsxTable11"/>
        </x15:connection>
      </ext>
    </extLst>
  </connection>
</connections>
</file>

<file path=xl/sharedStrings.xml><?xml version="1.0" encoding="utf-8"?>
<sst xmlns="http://schemas.openxmlformats.org/spreadsheetml/2006/main" count="129" uniqueCount="52">
  <si>
    <t>Tanggal</t>
  </si>
  <si>
    <t>Booking Order</t>
  </si>
  <si>
    <t>Menu</t>
  </si>
  <si>
    <t>Jumlah</t>
  </si>
  <si>
    <t>Harga Satuan</t>
  </si>
  <si>
    <t>Total</t>
  </si>
  <si>
    <t>Kategori</t>
  </si>
  <si>
    <t>Grand Total</t>
  </si>
  <si>
    <t>ROXC-9SF6PGF1</t>
  </si>
  <si>
    <t>Nasi Goreng</t>
  </si>
  <si>
    <t>Makanan</t>
  </si>
  <si>
    <t>2025</t>
  </si>
  <si>
    <t>Sep</t>
  </si>
  <si>
    <t>Bebek Bakar</t>
  </si>
  <si>
    <t>ROXC-MSP3E1EW</t>
  </si>
  <si>
    <t>Nasi Telor</t>
  </si>
  <si>
    <t>ROXC-X7FH0524</t>
  </si>
  <si>
    <t>ROXC-ZRZ7PF7A</t>
  </si>
  <si>
    <t>Air Mineral (Aqua)</t>
  </si>
  <si>
    <t>Minuman</t>
  </si>
  <si>
    <t>ROXC-B797DHWJ</t>
  </si>
  <si>
    <t>Donat</t>
  </si>
  <si>
    <t>Cake</t>
  </si>
  <si>
    <t>ROXC-N8VH4P9X</t>
  </si>
  <si>
    <t>ROXC-P7V8752Z</t>
  </si>
  <si>
    <t>ROXC-WEHPYYWV</t>
  </si>
  <si>
    <t>Milkshake</t>
  </si>
  <si>
    <t>ROXC-M1E41Z4N</t>
  </si>
  <si>
    <t>ROXC-B9JJXD84</t>
  </si>
  <si>
    <t>ROXC-C1R6G3YT</t>
  </si>
  <si>
    <t>ROXC-1HRNYZ5D</t>
  </si>
  <si>
    <t>ROXC-W2GPE0AC</t>
  </si>
  <si>
    <t>ROXC-JPM1E5CV</t>
  </si>
  <si>
    <t>ROXC-EKGNGM0J</t>
  </si>
  <si>
    <t>ROXC-4F5NDD83</t>
  </si>
  <si>
    <t>ROXC-2D7R0R5P</t>
  </si>
  <si>
    <t>May</t>
  </si>
  <si>
    <t>Jun</t>
  </si>
  <si>
    <t>Jul</t>
  </si>
  <si>
    <t>Aug</t>
  </si>
  <si>
    <t>Pembayaran</t>
  </si>
  <si>
    <t>CASH</t>
  </si>
  <si>
    <t>QRIS</t>
  </si>
  <si>
    <t>TOTAL PENJUALAN</t>
  </si>
  <si>
    <t>NAMA MENU</t>
  </si>
  <si>
    <t>JUMLAH TERJUAL</t>
  </si>
  <si>
    <t>METODE PEMBAYARAN</t>
  </si>
  <si>
    <t>JUMLAH PEMBAYARAN</t>
  </si>
  <si>
    <t>2024</t>
  </si>
  <si>
    <t>TOTAL MENU TERJUAL</t>
  </si>
  <si>
    <t>PENJUALAN TAHUN/BULAN</t>
  </si>
  <si>
    <t>TOTAL BOOKING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</si>
</sst>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2" formatCode="_(&quot;Rp&quot;* #,##0_);_(&quot;Rp&quot;* \(#,##0\);_(&quot;Rp&quot;* &quot;-&quot;_);_(@_)"/>
    <numFmt numFmtId="164" formatCode="&quot;Rp&quot;#,##0"/>
  </numFmts>
  <fonts count="18" x14ac:knownFonts="1">
    <font>
      <sz val="12"/>
      <color theme="1"/>
      <name val="Calibri"/>
      <family val="2"/>
      <scheme val="minor"/>
    </font>
    <font>
      <sz val="11"/>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sz val="11"/>
      <color theme="0"/>
      <name val="Calibri"/>
      <family val="2"/>
      <scheme val="minor"/>
    </font>
    <font>
      <sz val="11"/>
      <color theme="1"/>
      <name val="Calibri"/>
      <family val="2"/>
      <scheme val="minor"/>
    </font>
    <font>
      <sz val="12"/>
      <color theme="1"/>
      <name val="Arial Rounded MT Bold"/>
      <family val="2"/>
    </font>
    <font>
      <sz val="18"/>
      <color theme="0"/>
      <name val="Arial Rounded MT Bold"/>
      <family val="2"/>
    </font>
    <font>
      <b/>
      <sz val="24"/>
      <color theme="0"/>
      <name val="Arial Rounded MT Bold"/>
      <family val="2"/>
    </font>
    <font>
      <sz val="14"/>
      <color rgb="FFC00000"/>
      <name val="Calibri"/>
      <family val="2"/>
      <scheme val="minor"/>
    </font>
    <font>
      <sz val="12"/>
      <color theme="0"/>
      <name val="Arial Rounded MT Bold"/>
      <family val="2"/>
    </font>
    <font>
      <b/>
      <sz val="18"/>
      <color theme="0"/>
      <name val="Arial Rounded MT Bold"/>
      <family val="2"/>
    </font>
    <font>
      <sz val="18"/>
      <name val="Arial Rounded MT Bold"/>
      <family val="2"/>
    </font>
    <font>
      <sz val="24"/>
      <name val="Arial Rounded MT Bold"/>
      <family val="2"/>
    </font>
    <font>
      <b/>
      <sz val="14"/>
      <color rgb="FFC00000"/>
      <name val="Calibri"/>
      <family val="2"/>
      <scheme val="minor"/>
    </font>
    <font>
      <b/>
      <sz val="16"/>
      <color rgb="FFC00000"/>
      <name val="Arial Rounded MT Bold"/>
      <family val="2"/>
    </font>
    <font>
      <sz val="12"/>
      <color theme="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theme="0"/>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right/>
      <top/>
      <bottom style="medium">
        <color rgb="FFC00000"/>
      </bottom>
      <diagonal/>
    </border>
    <border>
      <left style="thick">
        <color rgb="FFC00000"/>
      </left>
      <right/>
      <top style="thick">
        <color rgb="FFC00000"/>
      </top>
      <bottom/>
      <diagonal/>
    </border>
    <border>
      <left/>
      <right style="thick">
        <color rgb="FFC00000"/>
      </right>
      <top style="thick">
        <color rgb="FFC00000"/>
      </top>
      <bottom/>
      <diagonal/>
    </border>
    <border>
      <left style="thick">
        <color rgb="FFC00000"/>
      </left>
      <right/>
      <top/>
      <bottom style="thick">
        <color rgb="FFC00000"/>
      </bottom>
      <diagonal/>
    </border>
    <border>
      <left/>
      <right style="thick">
        <color rgb="FFC00000"/>
      </right>
      <top/>
      <bottom style="thick">
        <color rgb="FFC00000"/>
      </bottom>
      <diagonal/>
    </border>
    <border>
      <left/>
      <right/>
      <top style="medium">
        <color rgb="FFC00000"/>
      </top>
      <bottom/>
      <diagonal/>
    </border>
    <border>
      <left style="medium">
        <color rgb="FFC00000"/>
      </left>
      <right/>
      <top style="medium">
        <color rgb="FFC00000"/>
      </top>
      <bottom/>
      <diagonal/>
    </border>
    <border>
      <left style="medium">
        <color rgb="FFC00000"/>
      </left>
      <right/>
      <top/>
      <bottom/>
      <diagonal/>
    </border>
    <border>
      <left style="medium">
        <color rgb="FFC00000"/>
      </left>
      <right/>
      <top/>
      <bottom style="medium">
        <color rgb="FFC00000"/>
      </bottom>
      <diagonal/>
    </border>
    <border>
      <left/>
      <right style="medium">
        <color rgb="FFC00000"/>
      </right>
      <top style="medium">
        <color rgb="FFC00000"/>
      </top>
      <bottom/>
      <diagonal/>
    </border>
    <border>
      <left/>
      <right style="medium">
        <color rgb="FFC00000"/>
      </right>
      <top/>
      <bottom/>
      <diagonal/>
    </border>
    <border>
      <left/>
      <right style="medium">
        <color rgb="FFC00000"/>
      </right>
      <top/>
      <bottom style="medium">
        <color rgb="FFC00000"/>
      </bottom>
      <diagonal/>
    </border>
  </borders>
  <cellStyleXfs count="1">
    <xf numFmtId="0" fontId="0" fillId="0" borderId="0"/>
  </cellStyleXfs>
  <cellXfs count="51">
    <xf numFmtId="0" fontId="0" fillId="0" borderId="0" xfId="0"/>
    <xf numFmtId="0" fontId="2" fillId="0" borderId="0" xfId="0" applyFont="1"/>
    <xf numFmtId="14" fontId="2" fillId="0" borderId="0" xfId="0" applyNumberFormat="1" applyFont="1"/>
    <xf numFmtId="14" fontId="4" fillId="0" borderId="0" xfId="0" applyNumberFormat="1" applyFont="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3" fillId="2" borderId="0" xfId="0" applyNumberFormat="1" applyFont="1" applyFill="1" applyAlignment="1">
      <alignment horizontal="center" vertical="center"/>
    </xf>
    <xf numFmtId="0" fontId="3" fillId="2" borderId="0" xfId="0" applyFont="1" applyFill="1" applyAlignment="1">
      <alignment horizontal="center" vertical="center"/>
    </xf>
    <xf numFmtId="0" fontId="5" fillId="2" borderId="0" xfId="0" applyFont="1" applyFill="1" applyAlignment="1">
      <alignment horizontal="center" vertical="center"/>
    </xf>
    <xf numFmtId="0" fontId="0" fillId="0" borderId="0" xfId="0" applyAlignment="1">
      <alignment horizontal="center" vertical="center"/>
    </xf>
    <xf numFmtId="42" fontId="0" fillId="0" borderId="0" xfId="0" applyNumberFormat="1"/>
    <xf numFmtId="0" fontId="6" fillId="0" borderId="0" xfId="0" applyFont="1"/>
    <xf numFmtId="42" fontId="6" fillId="0" borderId="0" xfId="0" applyNumberFormat="1" applyFont="1"/>
    <xf numFmtId="0" fontId="5" fillId="2" borderId="0" xfId="0" applyFont="1" applyFill="1" applyAlignment="1">
      <alignment horizontal="left" vertical="center"/>
    </xf>
    <xf numFmtId="0" fontId="5" fillId="2" borderId="0" xfId="0" applyFont="1" applyFill="1" applyAlignment="1">
      <alignment horizontal="left"/>
    </xf>
    <xf numFmtId="42" fontId="5" fillId="2" borderId="0" xfId="0" applyNumberFormat="1" applyFont="1" applyFill="1"/>
    <xf numFmtId="0" fontId="1" fillId="0" borderId="0" xfId="0" applyFont="1" applyAlignment="1">
      <alignment horizontal="left"/>
    </xf>
    <xf numFmtId="42" fontId="1" fillId="0" borderId="0" xfId="0" applyNumberFormat="1" applyFont="1"/>
    <xf numFmtId="14" fontId="1" fillId="0" borderId="0" xfId="0" applyNumberFormat="1" applyFont="1" applyAlignment="1">
      <alignment horizontal="left" indent="1"/>
    </xf>
    <xf numFmtId="0" fontId="7" fillId="0" borderId="0" xfId="0" applyFont="1"/>
    <xf numFmtId="0" fontId="1" fillId="0" borderId="0" xfId="0" applyFont="1" applyAlignment="1">
      <alignment horizontal="left" indent="1"/>
    </xf>
    <xf numFmtId="0" fontId="10" fillId="0" borderId="0" xfId="0" applyFont="1" applyAlignment="1">
      <alignment vertical="center"/>
    </xf>
    <xf numFmtId="0" fontId="8" fillId="0" borderId="0" xfId="0" applyFont="1"/>
    <xf numFmtId="0" fontId="9" fillId="0" borderId="0" xfId="0" applyFont="1" applyAlignment="1">
      <alignment vertical="top"/>
    </xf>
    <xf numFmtId="0" fontId="13" fillId="0" borderId="0" xfId="0" applyFont="1"/>
    <xf numFmtId="0" fontId="14" fillId="0" borderId="0" xfId="0" applyFont="1" applyAlignment="1">
      <alignment vertical="top"/>
    </xf>
    <xf numFmtId="0" fontId="11" fillId="0" borderId="0" xfId="0" applyFont="1"/>
    <xf numFmtId="0" fontId="17" fillId="2" borderId="0" xfId="0" applyFont="1" applyFill="1"/>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12" fillId="2" borderId="0" xfId="0" applyFont="1" applyFill="1" applyAlignment="1">
      <alignment horizontal="center"/>
    </xf>
    <xf numFmtId="1" fontId="8" fillId="2" borderId="0" xfId="0" applyNumberFormat="1" applyFont="1" applyFill="1" applyAlignment="1">
      <alignment horizontal="center" vertical="center"/>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11" xfId="0" applyFont="1" applyBorder="1" applyAlignment="1">
      <alignment horizontal="center" vertical="center"/>
    </xf>
    <xf numFmtId="0" fontId="16" fillId="0" borderId="9"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2" xfId="0" applyFont="1" applyBorder="1" applyAlignment="1">
      <alignment horizontal="center" vertical="center"/>
    </xf>
    <xf numFmtId="0" fontId="16" fillId="0" borderId="13" xfId="0" applyFont="1" applyBorder="1" applyAlignment="1">
      <alignment horizontal="center" vertical="center"/>
    </xf>
    <xf numFmtId="164" fontId="8" fillId="2" borderId="0" xfId="0" applyNumberFormat="1" applyFont="1" applyFill="1" applyAlignment="1">
      <alignment horizontal="center" vertical="center"/>
    </xf>
    <xf numFmtId="164" fontId="12" fillId="2" borderId="0" xfId="0" applyNumberFormat="1" applyFont="1" applyFill="1" applyAlignment="1">
      <alignment horizontal="center"/>
    </xf>
    <xf numFmtId="0" fontId="1" fillId="0" borderId="0" xfId="0" applyNumberFormat="1" applyFont="1" applyAlignment="1">
      <alignment horizontal="center" vertical="center"/>
    </xf>
    <xf numFmtId="0" fontId="5" fillId="2" borderId="0" xfId="0" applyNumberFormat="1" applyFont="1" applyFill="1" applyAlignment="1">
      <alignment horizontal="center" vertical="center"/>
    </xf>
    <xf numFmtId="0" fontId="0" fillId="0" borderId="0" xfId="0" applyNumberFormat="1" applyFont="1" applyAlignment="1">
      <alignment horizontal="center" vertical="center"/>
    </xf>
    <xf numFmtId="42" fontId="0" fillId="0" borderId="0" xfId="0" applyNumberFormat="1" applyFont="1" applyAlignment="1">
      <alignment horizontal="center" vertical="center"/>
    </xf>
    <xf numFmtId="0" fontId="1" fillId="0" borderId="0" xfId="0" applyNumberFormat="1" applyFont="1" applyAlignment="1">
      <alignment horizontal="center"/>
    </xf>
  </cellXfs>
  <cellStyles count="1">
    <cellStyle name="Normal" xfId="0" builtinId="0"/>
  </cellStyles>
  <dxfs count="308">
    <dxf>
      <alignment vertical="center"/>
    </dxf>
    <dxf>
      <alignment vertical="center"/>
    </dxf>
    <dxf>
      <alignment horizontal="center"/>
    </dxf>
    <dxf>
      <alignment horizontal="center"/>
    </dxf>
    <dxf>
      <fill>
        <patternFill patternType="solid">
          <bgColor rgb="FFC00000"/>
        </patternFill>
      </fill>
    </dxf>
    <dxf>
      <fill>
        <patternFill patternType="solid">
          <bgColor rgb="FFC00000"/>
        </patternFill>
      </fill>
    </dxf>
    <dxf>
      <font>
        <color theme="0"/>
      </font>
    </dxf>
    <dxf>
      <font>
        <color theme="0"/>
      </font>
    </dxf>
    <dxf>
      <alignment horizontal="center"/>
    </dxf>
    <dxf>
      <alignment horizontal="center"/>
    </dxf>
    <dxf>
      <alignment vertical="center"/>
    </dxf>
    <dxf>
      <alignment vertical="center"/>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ont>
        <color theme="0"/>
      </font>
    </dxf>
    <dxf>
      <font>
        <sz val="11"/>
      </font>
    </dxf>
    <dxf>
      <font>
        <sz val="11"/>
      </font>
    </dxf>
    <dxf>
      <font>
        <sz val="11"/>
      </font>
    </dxf>
    <dxf>
      <font>
        <sz val="11"/>
      </font>
    </dxf>
    <dxf>
      <font>
        <sz val="11"/>
      </font>
    </dxf>
    <dxf>
      <font>
        <sz val="11"/>
      </font>
    </dxf>
    <dxf>
      <font>
        <sz val="11"/>
      </font>
    </dxf>
    <dxf>
      <font>
        <sz val="11"/>
      </font>
    </dxf>
    <dxf>
      <font>
        <sz val="11"/>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32" formatCode="_(&quot;Rp&quot;* #,##0_);_(&quot;Rp&quot;* \(#,##0\);_(&quot;Rp&quot;* &quot;-&quot;_);_(@_)"/>
    </dxf>
    <dxf>
      <alignment horizontal="center"/>
    </dxf>
    <dxf>
      <fill>
        <patternFill patternType="solid">
          <bgColor rgb="FFC00000"/>
        </patternFill>
      </fill>
    </dxf>
    <dxf>
      <fill>
        <patternFill patternType="solid">
          <bgColor rgb="FFC00000"/>
        </patternFill>
      </fill>
    </dxf>
    <dxf>
      <font>
        <color theme="0"/>
      </font>
    </dxf>
    <dxf>
      <font>
        <color theme="0"/>
      </font>
    </dxf>
    <dxf>
      <alignment vertical="center"/>
    </dxf>
    <dxf>
      <alignment vertical="center"/>
    </dxf>
    <dxf>
      <fill>
        <patternFill patternType="solid">
          <bgColor rgb="FFFF0000"/>
        </patternFill>
      </fill>
    </dxf>
    <dxf>
      <fill>
        <patternFill patternType="solid">
          <bgColor rgb="FFFF0000"/>
        </patternFill>
      </fill>
    </dxf>
    <dxf>
      <font>
        <color theme="0"/>
      </font>
    </dxf>
    <dxf>
      <font>
        <color theme="0"/>
      </font>
    </dxf>
    <dxf>
      <fill>
        <patternFill>
          <bgColor rgb="FFC00000"/>
        </patternFill>
      </fill>
    </dxf>
    <dxf>
      <fill>
        <patternFill>
          <bgColor rgb="FFC00000"/>
        </patternFill>
      </fill>
    </dxf>
    <dxf>
      <font>
        <sz val="11"/>
      </font>
    </dxf>
    <dxf>
      <font>
        <sz val="11"/>
      </font>
    </dxf>
    <dxf>
      <alignment horizontal="center"/>
    </dxf>
    <dxf>
      <alignment horizontal="center"/>
    </dxf>
    <dxf>
      <font>
        <sz val="11"/>
      </font>
    </dxf>
    <dxf>
      <font>
        <sz val="11"/>
      </font>
    </dxf>
    <dxf>
      <font>
        <sz val="11"/>
      </font>
    </dxf>
    <dxf>
      <font>
        <sz val="11"/>
      </font>
    </dxf>
    <dxf>
      <font>
        <sz val="11"/>
      </font>
    </dxf>
    <dxf>
      <font>
        <sz val="11"/>
      </font>
    </dxf>
    <dxf>
      <font>
        <sz val="11"/>
      </font>
    </dxf>
    <dxf>
      <font>
        <sz val="11"/>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alignment horizontal="center"/>
    </dxf>
    <dxf>
      <alignment horizontal="center"/>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alignment vertical="center"/>
    </dxf>
    <dxf>
      <alignment horizontal="center"/>
    </dxf>
    <dxf>
      <alignment vertical="bottom"/>
    </dxf>
    <dxf>
      <alignment vertical="center"/>
    </dxf>
    <dxf>
      <font>
        <sz val="11"/>
      </font>
    </dxf>
    <dxf>
      <font>
        <sz val="11"/>
      </font>
    </dxf>
    <dxf>
      <font>
        <sz val="11"/>
      </font>
    </dxf>
    <dxf>
      <font>
        <sz val="11"/>
      </font>
    </dxf>
    <dxf>
      <font>
        <sz val="11"/>
      </font>
    </dxf>
    <dxf>
      <font>
        <sz val="11"/>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solid">
          <bgColor rgb="FFC00000"/>
        </patternFill>
      </fill>
    </dxf>
    <dxf>
      <font>
        <color theme="0"/>
      </font>
    </dxf>
    <dxf>
      <alignment horizontal="center"/>
    </dxf>
    <dxf>
      <alignment horizontal="center"/>
    </dxf>
    <dxf>
      <alignment horizontal="center"/>
    </dxf>
    <dxf>
      <alignment vertical="center"/>
    </dxf>
    <dxf>
      <alignment vertical="center"/>
    </dxf>
    <dxf>
      <alignment vertical="center"/>
    </dxf>
    <dxf>
      <font>
        <sz val="11"/>
      </font>
    </dxf>
    <dxf>
      <font>
        <name val="Calibri"/>
        <scheme val="minor"/>
      </font>
    </dxf>
    <dxf>
      <font>
        <name val="Calibri"/>
        <scheme val="minor"/>
      </font>
    </dxf>
    <dxf>
      <font>
        <name val="Calibri"/>
        <scheme val="minor"/>
      </font>
    </dxf>
    <dxf>
      <numFmt numFmtId="32" formatCode="_(&quot;Rp&quot;* #,##0_);_(&quot;Rp&quot;* \(#,##0\);_(&quot;Rp&quot;* &quot;-&quot;_);_(@_)"/>
    </dxf>
    <dxf>
      <fill>
        <patternFill patternType="solid">
          <bgColor rgb="FFC00000"/>
        </patternFill>
      </fill>
    </dxf>
    <dxf>
      <font>
        <color theme="0"/>
      </font>
    </dxf>
    <dxf>
      <font>
        <sz val="11"/>
      </font>
    </dxf>
    <dxf>
      <font>
        <name val="Calibri"/>
        <scheme val="minor"/>
      </font>
    </dxf>
    <dxf>
      <font>
        <name val="Calibri"/>
        <scheme val="minor"/>
      </font>
    </dxf>
    <dxf>
      <font>
        <name val="Calibri"/>
        <scheme val="minor"/>
      </font>
    </dxf>
    <dxf>
      <alignment horizontal="center"/>
    </dxf>
    <dxf>
      <alignment vertical="center"/>
    </dxf>
    <dxf>
      <alignment vertical="center"/>
    </dxf>
    <dxf>
      <alignment horizontal="center"/>
    </dxf>
    <dxf>
      <alignment vertical="center"/>
    </dxf>
    <dxf>
      <alignment vertical="center"/>
    </dxf>
    <dxf>
      <alignment horizontal="center"/>
    </dxf>
    <dxf>
      <alignment horizontal="center"/>
    </dxf>
    <dxf>
      <alignment vertical="center"/>
    </dxf>
    <dxf>
      <alignment horizontal="center"/>
    </dxf>
    <dxf>
      <font>
        <color theme="0"/>
      </font>
    </dxf>
    <dxf>
      <font>
        <color theme="0"/>
      </font>
    </dxf>
    <dxf>
      <fill>
        <patternFill patternType="solid">
          <bgColor rgb="FFC00000"/>
        </patternFill>
      </fill>
    </dxf>
    <dxf>
      <fill>
        <patternFill patternType="solid">
          <bgColor rgb="FFC00000"/>
        </patternFill>
      </fill>
    </dxf>
    <dxf>
      <alignment vertical="center"/>
    </dxf>
    <dxf>
      <alignment vertical="center"/>
    </dxf>
    <dxf>
      <alignment horizontal="left"/>
    </dxf>
    <dxf>
      <alignment horizontal="left"/>
    </dxf>
    <dxf>
      <fill>
        <patternFill patternType="solid">
          <bgColor rgb="FFC00000"/>
        </patternFill>
      </fill>
    </dxf>
    <dxf>
      <fill>
        <patternFill patternType="solid">
          <bgColor rgb="FFC00000"/>
        </patternFill>
      </fill>
    </dxf>
    <dxf>
      <font>
        <color theme="0"/>
      </font>
    </dxf>
    <dxf>
      <font>
        <color theme="0"/>
      </font>
    </dxf>
    <dxf>
      <font>
        <name val="Arial Unicode MS"/>
        <family val="2"/>
      </font>
    </dxf>
    <dxf>
      <alignment horizontal="center"/>
    </dxf>
    <dxf>
      <font>
        <sz val="11"/>
      </font>
    </dxf>
    <dxf>
      <font>
        <sz val="11"/>
      </font>
    </dxf>
    <dxf>
      <font>
        <sz val="11"/>
      </font>
    </dxf>
    <dxf>
      <font>
        <sz val="11"/>
      </font>
    </dxf>
    <dxf>
      <font>
        <sz val="11"/>
      </font>
    </dxf>
    <dxf>
      <font>
        <sz val="11"/>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alignment horizontal="center"/>
    </dxf>
    <dxf>
      <font>
        <name val="Arial Unicode MS"/>
        <family val="2"/>
      </font>
    </dxf>
    <dxf>
      <font>
        <color theme="0"/>
      </font>
    </dxf>
    <dxf>
      <font>
        <color theme="0"/>
      </font>
    </dxf>
    <dxf>
      <fill>
        <patternFill patternType="solid">
          <bgColor rgb="FFC00000"/>
        </patternFill>
      </fill>
    </dxf>
    <dxf>
      <fill>
        <patternFill patternType="solid">
          <bgColor rgb="FFC00000"/>
        </patternFill>
      </fill>
    </dxf>
    <dxf>
      <alignment horizontal="left"/>
    </dxf>
    <dxf>
      <alignment horizontal="left"/>
    </dxf>
    <dxf>
      <alignment vertical="center"/>
    </dxf>
    <dxf>
      <alignment vertical="center"/>
    </dxf>
    <dxf>
      <fill>
        <patternFill patternType="solid">
          <bgColor rgb="FFC00000"/>
        </patternFill>
      </fill>
    </dxf>
    <dxf>
      <fill>
        <patternFill patternType="solid">
          <bgColor rgb="FFC00000"/>
        </patternFill>
      </fill>
    </dxf>
    <dxf>
      <font>
        <color theme="0"/>
      </font>
    </dxf>
    <dxf>
      <font>
        <color theme="0"/>
      </font>
    </dxf>
    <dxf>
      <alignment horizontal="center"/>
    </dxf>
    <dxf>
      <alignment vertical="center"/>
    </dxf>
    <dxf>
      <alignment horizontal="center"/>
    </dxf>
    <dxf>
      <alignment horizontal="center"/>
    </dxf>
    <dxf>
      <alignment vertical="center"/>
    </dxf>
    <dxf>
      <alignment vertical="center"/>
    </dxf>
    <dxf>
      <alignment horizontal="center"/>
    </dxf>
    <dxf>
      <alignment vertical="center"/>
    </dxf>
    <dxf>
      <alignment vertical="center"/>
    </dxf>
    <dxf>
      <alignment horizontal="center"/>
    </dxf>
    <dxf>
      <font>
        <name val="Calibri"/>
        <scheme val="minor"/>
      </font>
    </dxf>
    <dxf>
      <font>
        <name val="Calibri"/>
        <scheme val="minor"/>
      </font>
    </dxf>
    <dxf>
      <font>
        <name val="Calibri"/>
        <scheme val="minor"/>
      </font>
    </dxf>
    <dxf>
      <font>
        <sz val="11"/>
      </font>
    </dxf>
    <dxf>
      <font>
        <color theme="0"/>
      </font>
    </dxf>
    <dxf>
      <fill>
        <patternFill patternType="solid">
          <bgColor rgb="FFC00000"/>
        </patternFill>
      </fill>
    </dxf>
    <dxf>
      <numFmt numFmtId="32" formatCode="_(&quot;Rp&quot;* #,##0_);_(&quot;Rp&quot;* \(#,##0\);_(&quot;Rp&quot;* &quot;-&quot;_);_(@_)"/>
    </dxf>
    <dxf>
      <font>
        <name val="Calibri"/>
        <scheme val="minor"/>
      </font>
    </dxf>
    <dxf>
      <font>
        <name val="Calibri"/>
        <scheme val="minor"/>
      </font>
    </dxf>
    <dxf>
      <font>
        <name val="Calibri"/>
        <scheme val="minor"/>
      </font>
    </dxf>
    <dxf>
      <font>
        <sz val="11"/>
      </font>
    </dxf>
    <dxf>
      <alignment vertical="center"/>
    </dxf>
    <dxf>
      <alignment vertical="center"/>
    </dxf>
    <dxf>
      <alignment vertical="center"/>
    </dxf>
    <dxf>
      <alignment horizontal="center"/>
    </dxf>
    <dxf>
      <alignment horizontal="center"/>
    </dxf>
    <dxf>
      <alignment horizontal="center"/>
    </dxf>
    <dxf>
      <font>
        <color theme="0"/>
      </font>
    </dxf>
    <dxf>
      <fill>
        <patternFill patternType="solid">
          <bgColor rgb="FFC00000"/>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alignment vertical="center"/>
    </dxf>
    <dxf>
      <alignment vertical="bottom"/>
    </dxf>
    <dxf>
      <alignment horizontal="center"/>
    </dxf>
    <dxf>
      <alignment vertical="center"/>
    </dxf>
    <dxf>
      <font>
        <color theme="0"/>
      </font>
    </dxf>
    <dxf>
      <font>
        <color theme="0"/>
      </font>
    </dxf>
    <dxf>
      <fill>
        <patternFill patternType="solid">
          <bgColor rgb="FFC00000"/>
        </patternFill>
      </fill>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alignment horizontal="center"/>
    </dxf>
    <dxf>
      <alignment horizontal="center"/>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font>
        <sz val="11"/>
      </font>
    </dxf>
    <dxf>
      <font>
        <sz val="11"/>
      </font>
    </dxf>
    <dxf>
      <alignment horizontal="center"/>
    </dxf>
    <dxf>
      <alignment horizontal="center"/>
    </dxf>
    <dxf>
      <font>
        <sz val="11"/>
      </font>
    </dxf>
    <dxf>
      <font>
        <sz val="11"/>
      </font>
    </dxf>
    <dxf>
      <fill>
        <patternFill>
          <bgColor rgb="FFC00000"/>
        </patternFill>
      </fill>
    </dxf>
    <dxf>
      <fill>
        <patternFill>
          <bgColor rgb="FFC00000"/>
        </patternFill>
      </fill>
    </dxf>
    <dxf>
      <font>
        <color theme="0"/>
      </font>
    </dxf>
    <dxf>
      <font>
        <color theme="0"/>
      </font>
    </dxf>
    <dxf>
      <fill>
        <patternFill patternType="solid">
          <bgColor rgb="FFFF0000"/>
        </patternFill>
      </fill>
    </dxf>
    <dxf>
      <fill>
        <patternFill patternType="solid">
          <bgColor rgb="FFFF0000"/>
        </patternFill>
      </fill>
    </dxf>
    <dxf>
      <alignment vertical="center"/>
    </dxf>
    <dxf>
      <alignment vertical="center"/>
    </dxf>
    <dxf>
      <font>
        <color theme="0"/>
      </font>
    </dxf>
    <dxf>
      <font>
        <color theme="0"/>
      </font>
    </dxf>
    <dxf>
      <fill>
        <patternFill patternType="solid">
          <bgColor rgb="FFC00000"/>
        </patternFill>
      </fill>
    </dxf>
    <dxf>
      <fill>
        <patternFill patternType="solid">
          <bgColor rgb="FFC00000"/>
        </patternFill>
      </fill>
    </dxf>
    <dxf>
      <alignment horizontal="center"/>
    </dxf>
    <dxf>
      <numFmt numFmtId="32" formatCode="_(&quot;Rp&quot;* #,##0_);_(&quot;Rp&quot;* \(#,##0\);_(&quot;Rp&quot;* &quot;-&quot;_);_(@_)"/>
    </dxf>
    <dxf>
      <font>
        <color theme="0"/>
      </font>
    </dxf>
    <dxf>
      <fill>
        <patternFill patternType="solid">
          <bgColor rgb="FFC00000"/>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1"/>
      </font>
    </dxf>
    <dxf>
      <font>
        <sz val="11"/>
      </font>
    </dxf>
    <dxf>
      <font>
        <sz val="11"/>
      </font>
    </dxf>
    <dxf>
      <font>
        <sz val="11"/>
      </font>
    </dxf>
    <dxf>
      <font>
        <sz val="11"/>
      </font>
    </dxf>
    <dxf>
      <font>
        <sz val="11"/>
      </font>
    </dxf>
    <dxf>
      <font>
        <sz val="11"/>
      </font>
    </dxf>
    <dxf>
      <font>
        <sz val="11"/>
      </font>
    </dxf>
    <dxf>
      <font>
        <sz val="11"/>
      </font>
    </dxf>
    <dxf>
      <font>
        <color theme="0"/>
      </font>
    </dxf>
    <dxf>
      <fill>
        <patternFill patternType="solid">
          <bgColor rgb="FFC00000"/>
        </patternFill>
      </fill>
    </dxf>
    <dxf>
      <font>
        <color theme="0"/>
      </font>
    </dxf>
    <dxf>
      <font>
        <color theme="0"/>
      </font>
    </dxf>
    <dxf>
      <fill>
        <patternFill patternType="solid">
          <bgColor rgb="FFC00000"/>
        </patternFill>
      </fill>
    </dxf>
    <dxf>
      <fill>
        <patternFill patternType="solid">
          <bgColor rgb="FFC00000"/>
        </patternFill>
      </fill>
    </dxf>
    <dxf>
      <alignment vertical="center"/>
    </dxf>
    <dxf>
      <alignment vertical="center"/>
    </dxf>
    <dxf>
      <alignment horizontal="center"/>
    </dxf>
    <dxf>
      <alignment horizontal="center"/>
    </dxf>
    <dxf>
      <font>
        <color theme="0"/>
      </font>
    </dxf>
    <dxf>
      <font>
        <color theme="0"/>
      </font>
    </dxf>
    <dxf>
      <fill>
        <patternFill patternType="solid">
          <bgColor rgb="FFC00000"/>
        </patternFill>
      </fill>
    </dxf>
    <dxf>
      <fill>
        <patternFill patternType="solid">
          <bgColor rgb="FFC00000"/>
        </patternFill>
      </fill>
    </dxf>
    <dxf>
      <alignment horizontal="center"/>
    </dxf>
    <dxf>
      <alignment horizontal="center"/>
    </dxf>
    <dxf>
      <alignment vertical="center"/>
    </dxf>
    <dxf>
      <alignment vertical="center"/>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numFmt numFmtId="19" formatCode="dd/mm/yy"/>
      <alignment horizontal="center" vertical="center" textRotation="0" wrapText="0" indent="0" justifyLastLine="0" shrinkToFit="0" readingOrder="0"/>
    </dxf>
    <dxf>
      <font>
        <b val="0"/>
        <i val="0"/>
        <strike val="0"/>
        <condense val="0"/>
        <extend val="0"/>
        <outline val="0"/>
        <shadow val="0"/>
        <u val="none"/>
        <vertAlign val="baseline"/>
        <sz val="16"/>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6"/>
        <color theme="1"/>
        <name val="Calibri"/>
        <family val="2"/>
        <scheme val="minor"/>
      </font>
      <fill>
        <patternFill patternType="solid">
          <fgColor indexed="64"/>
          <bgColor rgb="FFC00000"/>
        </patternFill>
      </fill>
      <alignment horizontal="center" vertical="center" textRotation="0" wrapText="0" indent="0" justifyLastLine="0" shrinkToFit="0" readingOrder="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erah" pivot="0" table="0" count="10" xr9:uid="{55F87E44-6999-42E6-994F-80CA66116B86}">
      <tableStyleElement type="wholeTable" dxfId="307"/>
      <tableStyleElement type="headerRow" dxfId="306"/>
    </tableStyle>
  </tableStyles>
  <colors>
    <mruColors>
      <color rgb="FFC00000"/>
      <color rgb="FFC0BAE0"/>
      <color rgb="FFFF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rgb="FFC00000"/>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rgb="FFC000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erah">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[template-excel.xlsx]data!PivotTable1</c:name>
    <c:fmtId val="5"/>
  </c:pivotSource>
  <c:chart>
    <c:title>
      <c:tx>
        <c:rich>
          <a:bodyPr rot="0" spcFirstLastPara="1" vertOverflow="ellipsis" vert="horz" wrap="square" anchor="ctr" anchorCtr="1"/>
          <a:lstStyle/>
          <a:p>
            <a:pPr>
              <a:defRPr sz="1900" b="1" i="0" u="none" strike="noStrike" kern="1200" spc="0" baseline="0">
                <a:solidFill>
                  <a:schemeClr val="tx1">
                    <a:lumMod val="65000"/>
                    <a:lumOff val="35000"/>
                  </a:schemeClr>
                </a:solidFill>
                <a:latin typeface="Arial Rounded MT Bold" panose="020F0704030504030204" pitchFamily="34" charset="0"/>
                <a:ea typeface="+mn-ea"/>
                <a:cs typeface="+mn-cs"/>
              </a:defRPr>
            </a:pPr>
            <a:r>
              <a:rPr lang="en-US" sz="1900" b="1">
                <a:latin typeface="Arial Rounded MT Bold" panose="020F0704030504030204" pitchFamily="34" charset="0"/>
              </a:rPr>
              <a:t>METODE PEMBAYARAN</a:t>
            </a:r>
          </a:p>
        </c:rich>
      </c:tx>
      <c:overlay val="0"/>
      <c:spPr>
        <a:noFill/>
        <a:ln>
          <a:noFill/>
        </a:ln>
        <a:effectLst/>
      </c:spPr>
      <c:txPr>
        <a:bodyPr rot="0" spcFirstLastPara="1" vertOverflow="ellipsis" vert="horz" wrap="square" anchor="ctr" anchorCtr="1"/>
        <a:lstStyle/>
        <a:p>
          <a:pPr>
            <a:defRPr sz="1900" b="1" i="0" u="none" strike="noStrike" kern="1200" spc="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rgbClr val="C00000"/>
          </a:solidFill>
          <a:ln>
            <a:noFill/>
          </a:ln>
          <a:effectLst/>
        </c:spPr>
      </c:pivotFmt>
    </c:pivotFmts>
    <c:plotArea>
      <c:layout/>
      <c:pieChart>
        <c:varyColors val="1"/>
        <c:ser>
          <c:idx val="0"/>
          <c:order val="0"/>
          <c:tx>
            <c:strRef>
              <c:f>data!$K$13</c:f>
              <c:strCache>
                <c:ptCount val="1"/>
                <c:pt idx="0">
                  <c:v>Total</c:v>
                </c:pt>
              </c:strCache>
            </c:strRef>
          </c:tx>
          <c:dPt>
            <c:idx val="0"/>
            <c:bubble3D val="0"/>
            <c:spPr>
              <a:solidFill>
                <a:schemeClr val="accent2">
                  <a:lumMod val="40000"/>
                  <a:lumOff val="60000"/>
                </a:schemeClr>
              </a:solidFill>
              <a:ln>
                <a:noFill/>
              </a:ln>
              <a:effectLst/>
            </c:spPr>
            <c:extLst>
              <c:ext xmlns:c16="http://schemas.microsoft.com/office/drawing/2014/chart" uri="{C3380CC4-5D6E-409C-BE32-E72D297353CC}">
                <c16:uniqueId val="{00000001-8028-F347-A54C-5798EB56CBD3}"/>
              </c:ext>
            </c:extLst>
          </c:dPt>
          <c:dPt>
            <c:idx val="1"/>
            <c:bubble3D val="0"/>
            <c:spPr>
              <a:solidFill>
                <a:srgbClr val="C00000"/>
              </a:solidFill>
              <a:ln>
                <a:noFill/>
              </a:ln>
              <a:effectLst/>
            </c:spPr>
            <c:extLst>
              <c:ext xmlns:c16="http://schemas.microsoft.com/office/drawing/2014/chart" uri="{C3380CC4-5D6E-409C-BE32-E72D297353CC}">
                <c16:uniqueId val="{00000003-8028-F347-A54C-5798EB56CBD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data!$J$14:$J$16</c:f>
              <c:strCache>
                <c:ptCount val="2"/>
                <c:pt idx="0">
                  <c:v>CASH</c:v>
                </c:pt>
                <c:pt idx="1">
                  <c:v>QRIS</c:v>
                </c:pt>
              </c:strCache>
            </c:strRef>
          </c:cat>
          <c:val>
            <c:numRef>
              <c:f>data!$K$14:$K$16</c:f>
              <c:numCache>
                <c:formatCode>General</c:formatCode>
                <c:ptCount val="2"/>
                <c:pt idx="0">
                  <c:v>10</c:v>
                </c:pt>
                <c:pt idx="1">
                  <c:v>10</c:v>
                </c:pt>
              </c:numCache>
            </c:numRef>
          </c:val>
          <c:extLst>
            <c:ext xmlns:c16="http://schemas.microsoft.com/office/drawing/2014/chart" uri="{C3380CC4-5D6E-409C-BE32-E72D297353CC}">
              <c16:uniqueId val="{00000004-8028-F347-A54C-5798EB56CBD3}"/>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[template-excel.xlsx]data!PivotTable6</c:name>
    <c:fmtId val="2"/>
  </c:pivotSource>
  <c:chart>
    <c:title>
      <c:tx>
        <c:rich>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Arial Rounded MT Bold" panose="020F0704030504030204" pitchFamily="34" charset="0"/>
                <a:ea typeface="+mn-ea"/>
                <a:cs typeface="+mn-cs"/>
              </a:defRPr>
            </a:pPr>
            <a:r>
              <a:rPr lang="en-US" sz="1900">
                <a:latin typeface="Arial Rounded MT Bold" panose="020F0704030504030204" pitchFamily="34" charset="0"/>
              </a:rPr>
              <a:t>TOP 5 MENU</a:t>
            </a:r>
          </a:p>
        </c:rich>
      </c:tx>
      <c:overlay val="0"/>
      <c:spPr>
        <a:noFill/>
        <a:ln>
          <a:noFill/>
        </a:ln>
        <a:effectLst/>
      </c:spPr>
      <c:txPr>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data!$H$13</c:f>
              <c:strCache>
                <c:ptCount val="1"/>
                <c:pt idx="0">
                  <c:v>Total</c:v>
                </c:pt>
              </c:strCache>
            </c:strRef>
          </c:tx>
          <c:spPr>
            <a:solidFill>
              <a:srgbClr val="C00000"/>
            </a:solidFill>
            <a:ln>
              <a:noFill/>
            </a:ln>
            <a:effectLst/>
          </c:spPr>
          <c:invertIfNegative val="0"/>
          <c:cat>
            <c:strRef>
              <c:f>data!$G$14:$G$18</c:f>
              <c:strCache>
                <c:ptCount val="5"/>
                <c:pt idx="0">
                  <c:v>Donat</c:v>
                </c:pt>
                <c:pt idx="1">
                  <c:v>Air Mineral (Aqua)</c:v>
                </c:pt>
                <c:pt idx="2">
                  <c:v>Nasi Goreng</c:v>
                </c:pt>
                <c:pt idx="3">
                  <c:v>Milkshake</c:v>
                </c:pt>
                <c:pt idx="4">
                  <c:v>Bebek Bakar</c:v>
                </c:pt>
              </c:strCache>
            </c:strRef>
          </c:cat>
          <c:val>
            <c:numRef>
              <c:f>data!$H$14:$H$18</c:f>
              <c:numCache>
                <c:formatCode>General</c:formatCode>
                <c:ptCount val="5"/>
                <c:pt idx="0">
                  <c:v>6</c:v>
                </c:pt>
                <c:pt idx="1">
                  <c:v>4</c:v>
                </c:pt>
                <c:pt idx="2">
                  <c:v>4</c:v>
                </c:pt>
                <c:pt idx="3">
                  <c:v>3</c:v>
                </c:pt>
                <c:pt idx="4">
                  <c:v>3</c:v>
                </c:pt>
              </c:numCache>
            </c:numRef>
          </c:val>
          <c:extLst>
            <c:ext xmlns:c16="http://schemas.microsoft.com/office/drawing/2014/chart" uri="{C3380CC4-5D6E-409C-BE32-E72D297353CC}">
              <c16:uniqueId val="{00000000-866C-5A4F-9991-A08CD118359E}"/>
            </c:ext>
          </c:extLst>
        </c:ser>
        <c:dLbls>
          <c:showLegendKey val="0"/>
          <c:showVal val="0"/>
          <c:showCatName val="0"/>
          <c:showSerName val="0"/>
          <c:showPercent val="0"/>
          <c:showBubbleSize val="0"/>
        </c:dLbls>
        <c:gapWidth val="355"/>
        <c:overlap val="-70"/>
        <c:axId val="712874303"/>
        <c:axId val="57353759"/>
      </c:barChart>
      <c:catAx>
        <c:axId val="71287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53759"/>
        <c:crosses val="autoZero"/>
        <c:auto val="1"/>
        <c:lblAlgn val="ctr"/>
        <c:lblOffset val="100"/>
        <c:noMultiLvlLbl val="0"/>
      </c:catAx>
      <c:valAx>
        <c:axId val="5735375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[template-excel.xlsx]data!PivotTable2</c:name>
    <c:fmtId val="23"/>
  </c:pivotSource>
  <c:chart>
    <c:title>
      <c:tx>
        <c:rich>
          <a:bodyPr rot="0" spcFirstLastPara="1" vertOverflow="ellipsis" vert="horz" wrap="square" anchor="ctr" anchorCtr="1"/>
          <a:lstStyle/>
          <a:p>
            <a:pPr>
              <a:defRPr sz="1900" b="1" i="0" u="none" strike="noStrike" kern="1200" spc="0" baseline="0">
                <a:solidFill>
                  <a:schemeClr val="tx1">
                    <a:lumMod val="65000"/>
                    <a:lumOff val="35000"/>
                  </a:schemeClr>
                </a:solidFill>
                <a:latin typeface="Arial Rounded MT Bold" panose="020F0704030504030204" pitchFamily="34" charset="77"/>
                <a:ea typeface="+mn-ea"/>
                <a:cs typeface="+mn-cs"/>
              </a:defRPr>
            </a:pPr>
            <a:r>
              <a:rPr lang="en-US" sz="1900" b="1">
                <a:latin typeface="Arial Rounded MT Bold" panose="020F0704030504030204" pitchFamily="34" charset="77"/>
              </a:rPr>
              <a:t>TOTAL PENJUALAN</a:t>
            </a:r>
          </a:p>
        </c:rich>
      </c:tx>
      <c:overlay val="0"/>
      <c:spPr>
        <a:noFill/>
        <a:ln>
          <a:noFill/>
        </a:ln>
        <a:effectLst/>
      </c:spPr>
      <c:txPr>
        <a:bodyPr rot="0" spcFirstLastPara="1" vertOverflow="ellipsis" vert="horz" wrap="square" anchor="ctr" anchorCtr="1"/>
        <a:lstStyle/>
        <a:p>
          <a:pPr>
            <a:defRPr sz="1900" b="1" i="0" u="none" strike="noStrike" kern="1200" spc="0" baseline="0">
              <a:solidFill>
                <a:schemeClr val="tx1">
                  <a:lumMod val="65000"/>
                  <a:lumOff val="35000"/>
                </a:schemeClr>
              </a:solidFill>
              <a:latin typeface="Arial Rounded MT Bold" panose="020F0704030504030204" pitchFamily="34" charset="77"/>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rgbClr val="C0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circle"/>
          <c:size val="5"/>
          <c:spPr>
            <a:solidFill>
              <a:srgbClr val="C00000"/>
            </a:solidFill>
            <a:ln w="9525">
              <a:solidFill>
                <a:schemeClr val="accent2"/>
              </a:solidFill>
            </a:ln>
            <a:effectLst/>
          </c:spPr>
        </c:marker>
      </c:pivotFmt>
      <c:pivotFmt>
        <c:idx val="4"/>
        <c:spPr>
          <a:ln w="28575" cap="rnd">
            <a:solidFill>
              <a:srgbClr val="C00000"/>
            </a:solidFill>
            <a:round/>
          </a:ln>
          <a:effectLst/>
        </c:spPr>
        <c:marker>
          <c:symbol val="circle"/>
          <c:size val="5"/>
          <c:spPr>
            <a:solidFill>
              <a:srgbClr val="C00000"/>
            </a:solidFill>
            <a:ln w="9525">
              <a:solidFill>
                <a:schemeClr val="accent2"/>
              </a:solidFill>
            </a:ln>
            <a:effectLst/>
          </c:spPr>
        </c:marker>
      </c:pivotFmt>
      <c:pivotFmt>
        <c:idx val="5"/>
        <c:spPr>
          <a:ln w="28575" cap="rnd">
            <a:solidFill>
              <a:srgbClr val="C00000"/>
            </a:solidFill>
            <a:round/>
          </a:ln>
          <a:effectLst/>
        </c:spPr>
        <c:marker>
          <c:symbol val="circle"/>
          <c:size val="5"/>
          <c:spPr>
            <a:solidFill>
              <a:srgbClr val="C00000"/>
            </a:solidFill>
            <a:ln w="9525">
              <a:solidFill>
                <a:schemeClr val="accent2"/>
              </a:solidFill>
            </a:ln>
            <a:effectLst/>
          </c:spPr>
        </c:marker>
      </c:pivotFmt>
      <c:pivotFmt>
        <c:idx val="6"/>
        <c:spPr>
          <a:ln w="28575" cap="rnd">
            <a:solidFill>
              <a:srgbClr val="C00000"/>
            </a:solidFill>
            <a:round/>
          </a:ln>
          <a:effectLst/>
        </c:spPr>
        <c:marker>
          <c:symbol val="circle"/>
          <c:size val="5"/>
          <c:spPr>
            <a:solidFill>
              <a:srgbClr val="C00000"/>
            </a:solidFill>
            <a:ln w="9525">
              <a:solidFill>
                <a:schemeClr val="accent2"/>
              </a:solidFill>
            </a:ln>
            <a:effectLst/>
          </c:spPr>
        </c:marker>
      </c:pivotFmt>
    </c:pivotFmts>
    <c:plotArea>
      <c:layout/>
      <c:lineChart>
        <c:grouping val="standard"/>
        <c:varyColors val="0"/>
        <c:ser>
          <c:idx val="0"/>
          <c:order val="0"/>
          <c:tx>
            <c:strRef>
              <c:f>data!$B$13</c:f>
              <c:strCache>
                <c:ptCount val="1"/>
                <c:pt idx="0">
                  <c:v>Total</c:v>
                </c:pt>
              </c:strCache>
            </c:strRef>
          </c:tx>
          <c:spPr>
            <a:ln w="28575" cap="rnd">
              <a:solidFill>
                <a:schemeClr val="accent2"/>
              </a:solidFill>
              <a:round/>
            </a:ln>
            <a:effectLst/>
          </c:spPr>
          <c:marker>
            <c:symbol val="circle"/>
            <c:size val="5"/>
            <c:spPr>
              <a:solidFill>
                <a:srgbClr val="C00000"/>
              </a:solidFill>
              <a:ln w="9525">
                <a:solidFill>
                  <a:schemeClr val="accent2"/>
                </a:solidFill>
              </a:ln>
              <a:effectLst/>
            </c:spPr>
          </c:marker>
          <c:dPt>
            <c:idx val="1"/>
            <c:marker>
              <c:symbol val="circle"/>
              <c:size val="5"/>
              <c:spPr>
                <a:solidFill>
                  <a:srgbClr val="C00000"/>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4-47D5-4202-92EC-8A2B946DFED3}"/>
              </c:ext>
            </c:extLst>
          </c:dPt>
          <c:dPt>
            <c:idx val="2"/>
            <c:marker>
              <c:symbol val="circle"/>
              <c:size val="5"/>
              <c:spPr>
                <a:solidFill>
                  <a:srgbClr val="C00000"/>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3-47D5-4202-92EC-8A2B946DFED3}"/>
              </c:ext>
            </c:extLst>
          </c:dPt>
          <c:dPt>
            <c:idx val="3"/>
            <c:marker>
              <c:symbol val="circle"/>
              <c:size val="5"/>
              <c:spPr>
                <a:solidFill>
                  <a:srgbClr val="C00000"/>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0-47D5-4202-92EC-8A2B946DFED3}"/>
              </c:ext>
            </c:extLst>
          </c:dPt>
          <c:dPt>
            <c:idx val="4"/>
            <c:marker>
              <c:symbol val="circle"/>
              <c:size val="5"/>
              <c:spPr>
                <a:solidFill>
                  <a:srgbClr val="C00000"/>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1-47D5-4202-92EC-8A2B946DFED3}"/>
              </c:ext>
            </c:extLst>
          </c:dPt>
          <c:dPt>
            <c:idx val="5"/>
            <c:marker>
              <c:symbol val="circle"/>
              <c:size val="5"/>
              <c:spPr>
                <a:solidFill>
                  <a:srgbClr val="C00000"/>
                </a:solidFill>
                <a:ln w="9525">
                  <a:solidFill>
                    <a:schemeClr val="accent2"/>
                  </a:solidFill>
                </a:ln>
                <a:effectLst/>
              </c:spPr>
            </c:marker>
            <c:bubble3D val="0"/>
            <c:spPr>
              <a:ln w="28575" cap="rnd">
                <a:solidFill>
                  <a:srgbClr val="C00000"/>
                </a:solidFill>
                <a:round/>
              </a:ln>
              <a:effectLst/>
            </c:spPr>
            <c:extLst>
              <c:ext xmlns:c16="http://schemas.microsoft.com/office/drawing/2014/chart" uri="{C3380CC4-5D6E-409C-BE32-E72D297353CC}">
                <c16:uniqueId val="{00000002-47D5-4202-92EC-8A2B946DFED3}"/>
              </c:ext>
            </c:extLst>
          </c:dPt>
          <c:cat>
            <c:multiLvlStrRef>
              <c:f>data!$A$14:$A$22</c:f>
              <c:multiLvlStrCache>
                <c:ptCount val="6"/>
                <c:lvl>
                  <c:pt idx="0">
                    <c:v>May</c:v>
                  </c:pt>
                  <c:pt idx="1">
                    <c:v>Jun</c:v>
                  </c:pt>
                  <c:pt idx="2">
                    <c:v>Jul</c:v>
                  </c:pt>
                  <c:pt idx="3">
                    <c:v>Aug</c:v>
                  </c:pt>
                  <c:pt idx="4">
                    <c:v>Sep</c:v>
                  </c:pt>
                  <c:pt idx="5">
                    <c:v>May</c:v>
                  </c:pt>
                </c:lvl>
                <c:lvl>
                  <c:pt idx="0">
                    <c:v>2025</c:v>
                  </c:pt>
                  <c:pt idx="5">
                    <c:v>2024</c:v>
                  </c:pt>
                </c:lvl>
              </c:multiLvlStrCache>
            </c:multiLvlStrRef>
          </c:cat>
          <c:val>
            <c:numRef>
              <c:f>data!$B$14:$B$22</c:f>
              <c:numCache>
                <c:formatCode>_("Rp"* #,##0_);_("Rp"* \(#,##0\);_("Rp"* "-"_);_(@_)</c:formatCode>
                <c:ptCount val="6"/>
                <c:pt idx="0">
                  <c:v>38000</c:v>
                </c:pt>
                <c:pt idx="1">
                  <c:v>40000</c:v>
                </c:pt>
                <c:pt idx="2">
                  <c:v>104000</c:v>
                </c:pt>
                <c:pt idx="3">
                  <c:v>48000</c:v>
                </c:pt>
                <c:pt idx="4">
                  <c:v>56000</c:v>
                </c:pt>
                <c:pt idx="5">
                  <c:v>13000</c:v>
                </c:pt>
              </c:numCache>
            </c:numRef>
          </c:val>
          <c:smooth val="0"/>
          <c:extLst>
            <c:ext xmlns:c16="http://schemas.microsoft.com/office/drawing/2014/chart" uri="{C3380CC4-5D6E-409C-BE32-E72D297353CC}">
              <c16:uniqueId val="{00000000-7B5B-E549-82D4-5C21057EB5EF}"/>
            </c:ext>
          </c:extLst>
        </c:ser>
        <c:dLbls>
          <c:showLegendKey val="0"/>
          <c:showVal val="0"/>
          <c:showCatName val="0"/>
          <c:showSerName val="0"/>
          <c:showPercent val="0"/>
          <c:showBubbleSize val="0"/>
        </c:dLbls>
        <c:marker val="1"/>
        <c:smooth val="0"/>
        <c:axId val="2044766704"/>
        <c:axId val="2044881872"/>
      </c:lineChart>
      <c:catAx>
        <c:axId val="204476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881872"/>
        <c:crosses val="autoZero"/>
        <c:auto val="1"/>
        <c:lblAlgn val="ctr"/>
        <c:lblOffset val="100"/>
        <c:noMultiLvlLbl val="0"/>
      </c:catAx>
      <c:valAx>
        <c:axId val="2044881872"/>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66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[template-excel.xlsx]data!PivotTable4</c:name>
    <c:fmtId val="13"/>
  </c:pivotSource>
  <c:chart>
    <c:title>
      <c:tx>
        <c:rich>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Arial Rounded MT Bold" panose="020F0704030504030204" pitchFamily="34" charset="0"/>
                <a:ea typeface="+mn-ea"/>
                <a:cs typeface="+mn-cs"/>
              </a:defRPr>
            </a:pPr>
            <a:r>
              <a:rPr lang="en-US" sz="1900">
                <a:latin typeface="Arial Rounded MT Bold" panose="020F0704030504030204" pitchFamily="34" charset="0"/>
              </a:rPr>
              <a:t>Total MAKANAN TERJUAL</a:t>
            </a:r>
          </a:p>
        </c:rich>
      </c:tx>
      <c:overlay val="0"/>
      <c:spPr>
        <a:noFill/>
        <a:ln>
          <a:noFill/>
        </a:ln>
        <a:effectLst/>
      </c:spPr>
      <c:txPr>
        <a:bodyPr rot="0" spcFirstLastPara="1" vertOverflow="ellipsis" vert="horz" wrap="square" anchor="ctr" anchorCtr="1"/>
        <a:lstStyle/>
        <a:p>
          <a:pPr>
            <a:defRPr sz="1900" b="1" i="0" u="none" strike="noStrike" kern="1200" cap="all" spc="50" baseline="0">
              <a:solidFill>
                <a:schemeClr val="tx1">
                  <a:lumMod val="65000"/>
                  <a:lumOff val="35000"/>
                </a:schemeClr>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data!$E$13</c:f>
              <c:strCache>
                <c:ptCount val="1"/>
                <c:pt idx="0">
                  <c:v>Total</c:v>
                </c:pt>
              </c:strCache>
            </c:strRef>
          </c:tx>
          <c:spPr>
            <a:solidFill>
              <a:srgbClr val="C00000"/>
            </a:solidFill>
            <a:ln>
              <a:noFill/>
            </a:ln>
            <a:effectLst/>
          </c:spPr>
          <c:invertIfNegative val="0"/>
          <c:cat>
            <c:multiLvlStrRef>
              <c:f>data!$D$14:$D$23</c:f>
              <c:multiLvlStrCache>
                <c:ptCount val="6"/>
                <c:lvl>
                  <c:pt idx="0">
                    <c:v>Nasi Goreng</c:v>
                  </c:pt>
                  <c:pt idx="1">
                    <c:v>Bebek Bakar</c:v>
                  </c:pt>
                  <c:pt idx="2">
                    <c:v>Nasi Telor</c:v>
                  </c:pt>
                  <c:pt idx="3">
                    <c:v>Air Mineral (Aqua)</c:v>
                  </c:pt>
                  <c:pt idx="4">
                    <c:v>Milkshake</c:v>
                  </c:pt>
                  <c:pt idx="5">
                    <c:v>Donat</c:v>
                  </c:pt>
                </c:lvl>
                <c:lvl>
                  <c:pt idx="0">
                    <c:v>Makanan</c:v>
                  </c:pt>
                  <c:pt idx="3">
                    <c:v>Minuman</c:v>
                  </c:pt>
                  <c:pt idx="5">
                    <c:v>Cake</c:v>
                  </c:pt>
                </c:lvl>
              </c:multiLvlStrCache>
            </c:multiLvlStrRef>
          </c:cat>
          <c:val>
            <c:numRef>
              <c:f>data!$E$14:$E$23</c:f>
              <c:numCache>
                <c:formatCode>General</c:formatCode>
                <c:ptCount val="6"/>
                <c:pt idx="0">
                  <c:v>4</c:v>
                </c:pt>
                <c:pt idx="1">
                  <c:v>3</c:v>
                </c:pt>
                <c:pt idx="2">
                  <c:v>1</c:v>
                </c:pt>
                <c:pt idx="3">
                  <c:v>4</c:v>
                </c:pt>
                <c:pt idx="4">
                  <c:v>3</c:v>
                </c:pt>
                <c:pt idx="5">
                  <c:v>6</c:v>
                </c:pt>
              </c:numCache>
            </c:numRef>
          </c:val>
          <c:extLst>
            <c:ext xmlns:c16="http://schemas.microsoft.com/office/drawing/2014/chart" uri="{C3380CC4-5D6E-409C-BE32-E72D297353CC}">
              <c16:uniqueId val="{00000000-6F3C-A747-9CF5-24B1652F400B}"/>
            </c:ext>
          </c:extLst>
        </c:ser>
        <c:dLbls>
          <c:showLegendKey val="0"/>
          <c:showVal val="0"/>
          <c:showCatName val="0"/>
          <c:showSerName val="0"/>
          <c:showPercent val="0"/>
          <c:showBubbleSize val="0"/>
        </c:dLbls>
        <c:gapWidth val="355"/>
        <c:overlap val="-70"/>
        <c:axId val="1867755008"/>
        <c:axId val="2031638032"/>
      </c:barChart>
      <c:catAx>
        <c:axId val="186775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38032"/>
        <c:crosses val="autoZero"/>
        <c:auto val="1"/>
        <c:lblAlgn val="ctr"/>
        <c:lblOffset val="100"/>
        <c:noMultiLvlLbl val="0"/>
      </c:catAx>
      <c:valAx>
        <c:axId val="20316380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75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11</xdr:col>
      <xdr:colOff>1</xdr:colOff>
      <xdr:row>3</xdr:row>
      <xdr:rowOff>10160</xdr:rowOff>
    </xdr:to>
    <xdr:sp macro="" textlink="">
      <xdr:nvSpPr>
        <xdr:cNvPr id="5" name="Rounded Rectangle 4">
          <a:extLst>
            <a:ext uri="{FF2B5EF4-FFF2-40B4-BE49-F238E27FC236}">
              <a16:creationId xmlns:a16="http://schemas.microsoft.com/office/drawing/2014/main" id="{C2F9A90A-B756-99BA-8F75-80A2E78EA1BE}"/>
            </a:ext>
          </a:extLst>
        </xdr:cNvPr>
        <xdr:cNvSpPr/>
      </xdr:nvSpPr>
      <xdr:spPr>
        <a:xfrm>
          <a:off x="1" y="0"/>
          <a:ext cx="12091831" cy="627273"/>
        </a:xfrm>
        <a:prstGeom prst="roundRect">
          <a:avLst/>
        </a:prstGeom>
        <a:solidFill>
          <a:srgbClr val="C0000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a:latin typeface="Arial Unicode MS" panose="020B0604020202020204" pitchFamily="34" charset="-128"/>
              <a:ea typeface="Arial Unicode MS" panose="020B0604020202020204" pitchFamily="34" charset="-128"/>
              <a:cs typeface="Arial Unicode MS" panose="020B0604020202020204" pitchFamily="34" charset="-128"/>
            </a:rPr>
            <a:t>SUMMARY</a:t>
          </a:r>
          <a:r>
            <a:rPr lang="en-US" sz="2400" baseline="0">
              <a:latin typeface="Arial Unicode MS" panose="020B0604020202020204" pitchFamily="34" charset="-128"/>
              <a:ea typeface="Arial Unicode MS" panose="020B0604020202020204" pitchFamily="34" charset="-128"/>
              <a:cs typeface="Arial Unicode MS" panose="020B0604020202020204" pitchFamily="34" charset="-128"/>
            </a:rPr>
            <a:t> DATA</a:t>
          </a:r>
          <a:endParaRPr lang="en-US" sz="2400">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0</xdr:col>
      <xdr:colOff>25400</xdr:colOff>
      <xdr:row>10</xdr:row>
      <xdr:rowOff>327</xdr:rowOff>
    </xdr:from>
    <xdr:to>
      <xdr:col>1</xdr:col>
      <xdr:colOff>1214967</xdr:colOff>
      <xdr:row>11</xdr:row>
      <xdr:rowOff>188138</xdr:rowOff>
    </xdr:to>
    <xdr:sp macro="" textlink="">
      <xdr:nvSpPr>
        <xdr:cNvPr id="7" name="Rounded Rectangle 6">
          <a:extLst>
            <a:ext uri="{FF2B5EF4-FFF2-40B4-BE49-F238E27FC236}">
              <a16:creationId xmlns:a16="http://schemas.microsoft.com/office/drawing/2014/main" id="{4B7DA07D-F33F-E8E1-6D36-65BB4B588117}"/>
            </a:ext>
          </a:extLst>
        </xdr:cNvPr>
        <xdr:cNvSpPr/>
      </xdr:nvSpPr>
      <xdr:spPr>
        <a:xfrm>
          <a:off x="25400" y="2289904"/>
          <a:ext cx="2549004" cy="393516"/>
        </a:xfrm>
        <a:prstGeom prst="roundRect">
          <a:avLst/>
        </a:prstGeom>
        <a:ln w="1905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rPr>
            <a:t>DATA PENDAPATAN PENJUALAN </a:t>
          </a:r>
        </a:p>
      </xdr:txBody>
    </xdr:sp>
    <xdr:clientData/>
  </xdr:twoCellAnchor>
  <xdr:twoCellAnchor>
    <xdr:from>
      <xdr:col>2</xdr:col>
      <xdr:colOff>352262</xdr:colOff>
      <xdr:row>9</xdr:row>
      <xdr:rowOff>197087</xdr:rowOff>
    </xdr:from>
    <xdr:to>
      <xdr:col>4</xdr:col>
      <xdr:colOff>1112501</xdr:colOff>
      <xdr:row>11</xdr:row>
      <xdr:rowOff>187817</xdr:rowOff>
    </xdr:to>
    <xdr:sp macro="" textlink="">
      <xdr:nvSpPr>
        <xdr:cNvPr id="8" name="Rounded Rectangle 7">
          <a:extLst>
            <a:ext uri="{FF2B5EF4-FFF2-40B4-BE49-F238E27FC236}">
              <a16:creationId xmlns:a16="http://schemas.microsoft.com/office/drawing/2014/main" id="{CBA8371A-5B15-1E4B-825D-AC19F4DE1346}"/>
            </a:ext>
          </a:extLst>
        </xdr:cNvPr>
        <xdr:cNvSpPr/>
      </xdr:nvSpPr>
      <xdr:spPr>
        <a:xfrm>
          <a:off x="2928037" y="2280960"/>
          <a:ext cx="2656295" cy="402139"/>
        </a:xfrm>
        <a:prstGeom prst="roundRect">
          <a:avLst/>
        </a:prstGeom>
        <a:ln w="1905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rPr>
            <a:t>DATA</a:t>
          </a:r>
          <a:r>
            <a:rPr lang="en-US" sz="1050" b="1" baseline="0">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rPr>
            <a:t> JUMLAH MENU TERJUAL</a:t>
          </a:r>
          <a:endParaRPr lang="en-US" sz="1050" b="1">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twoCellAnchor>
  <xdr:twoCellAnchor>
    <xdr:from>
      <xdr:col>6</xdr:col>
      <xdr:colOff>18540</xdr:colOff>
      <xdr:row>10</xdr:row>
      <xdr:rowOff>329</xdr:rowOff>
    </xdr:from>
    <xdr:to>
      <xdr:col>8</xdr:col>
      <xdr:colOff>3812</xdr:colOff>
      <xdr:row>11</xdr:row>
      <xdr:rowOff>188140</xdr:rowOff>
    </xdr:to>
    <xdr:sp macro="" textlink="">
      <xdr:nvSpPr>
        <xdr:cNvPr id="9" name="Rounded Rectangle 8">
          <a:extLst>
            <a:ext uri="{FF2B5EF4-FFF2-40B4-BE49-F238E27FC236}">
              <a16:creationId xmlns:a16="http://schemas.microsoft.com/office/drawing/2014/main" id="{199E70C7-9994-FD40-A3C7-1DBE35F28DD8}"/>
            </a:ext>
          </a:extLst>
        </xdr:cNvPr>
        <xdr:cNvSpPr/>
      </xdr:nvSpPr>
      <xdr:spPr>
        <a:xfrm>
          <a:off x="5975019" y="2289906"/>
          <a:ext cx="2364286" cy="393516"/>
        </a:xfrm>
        <a:prstGeom prst="roundRect">
          <a:avLst/>
        </a:prstGeom>
        <a:ln w="1905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rPr>
            <a:t>TOP 5 MENU TERLARIS</a:t>
          </a:r>
        </a:p>
      </xdr:txBody>
    </xdr:sp>
    <xdr:clientData/>
  </xdr:twoCellAnchor>
  <xdr:twoCellAnchor>
    <xdr:from>
      <xdr:col>9</xdr:col>
      <xdr:colOff>9270</xdr:colOff>
      <xdr:row>10</xdr:row>
      <xdr:rowOff>334</xdr:rowOff>
    </xdr:from>
    <xdr:to>
      <xdr:col>11</xdr:col>
      <xdr:colOff>7467</xdr:colOff>
      <xdr:row>11</xdr:row>
      <xdr:rowOff>188144</xdr:rowOff>
    </xdr:to>
    <xdr:sp macro="" textlink="">
      <xdr:nvSpPr>
        <xdr:cNvPr id="10" name="Rounded Rectangle 9">
          <a:extLst>
            <a:ext uri="{FF2B5EF4-FFF2-40B4-BE49-F238E27FC236}">
              <a16:creationId xmlns:a16="http://schemas.microsoft.com/office/drawing/2014/main" id="{02BFFAC8-1668-134C-B818-42A8CC82D9C2}"/>
            </a:ext>
          </a:extLst>
        </xdr:cNvPr>
        <xdr:cNvSpPr/>
      </xdr:nvSpPr>
      <xdr:spPr>
        <a:xfrm>
          <a:off x="8765115" y="2289911"/>
          <a:ext cx="3334183" cy="393515"/>
        </a:xfrm>
        <a:prstGeom prst="roundRect">
          <a:avLst/>
        </a:prstGeom>
        <a:ln w="19050">
          <a:solidFill>
            <a:srgbClr val="C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050" b="1">
              <a:solidFill>
                <a:srgbClr val="C00000"/>
              </a:solidFill>
              <a:latin typeface="Arial Unicode MS" panose="020B0604020202020204" pitchFamily="34" charset="-128"/>
              <a:ea typeface="Arial Unicode MS" panose="020B0604020202020204" pitchFamily="34" charset="-128"/>
              <a:cs typeface="Arial Unicode MS" panose="020B0604020202020204" pitchFamily="34" charset="-128"/>
            </a:rPr>
            <a:t>JUMLAH METODE PEMBAYARAN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1</xdr:rowOff>
    </xdr:from>
    <xdr:to>
      <xdr:col>21</xdr:col>
      <xdr:colOff>1</xdr:colOff>
      <xdr:row>3</xdr:row>
      <xdr:rowOff>190121</xdr:rowOff>
    </xdr:to>
    <xdr:sp macro="" textlink="">
      <xdr:nvSpPr>
        <xdr:cNvPr id="7" name="Rounded Rectangle 6">
          <a:extLst>
            <a:ext uri="{FF2B5EF4-FFF2-40B4-BE49-F238E27FC236}">
              <a16:creationId xmlns:a16="http://schemas.microsoft.com/office/drawing/2014/main" id="{C29E898B-7E3A-1F46-9BFB-3CAC5D189C55}"/>
            </a:ext>
          </a:extLst>
        </xdr:cNvPr>
        <xdr:cNvSpPr/>
      </xdr:nvSpPr>
      <xdr:spPr>
        <a:xfrm>
          <a:off x="1" y="1"/>
          <a:ext cx="17780000" cy="799720"/>
        </a:xfrm>
        <a:prstGeom prst="roundRect">
          <a:avLst>
            <a:gd name="adj" fmla="val 8437"/>
          </a:avLst>
        </a:prstGeom>
        <a:solidFill>
          <a:srgbClr val="C00000"/>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Arial Rounded MT Bold" panose="020F0704030504030204" pitchFamily="34" charset="0"/>
              <a:cs typeface="Times New Roman" panose="02020603050405020304" pitchFamily="18" charset="0"/>
            </a:rPr>
            <a:t>GRAFIK</a:t>
          </a:r>
          <a:r>
            <a:rPr lang="en-US" sz="3200" b="1" baseline="0">
              <a:latin typeface="Arial Rounded MT Bold" panose="020F0704030504030204" pitchFamily="34" charset="0"/>
              <a:cs typeface="Times New Roman" panose="02020603050405020304" pitchFamily="18" charset="0"/>
            </a:rPr>
            <a:t> PENJUALAN</a:t>
          </a:r>
          <a:endParaRPr lang="en-US" sz="3200" b="1">
            <a:latin typeface="Arial Rounded MT Bold" panose="020F0704030504030204" pitchFamily="34" charset="0"/>
            <a:cs typeface="Times New Roman" panose="02020603050405020304" pitchFamily="18" charset="0"/>
          </a:endParaRPr>
        </a:p>
      </xdr:txBody>
    </xdr:sp>
    <xdr:clientData/>
  </xdr:twoCellAnchor>
  <xdr:twoCellAnchor editAs="oneCell">
    <xdr:from>
      <xdr:col>0</xdr:col>
      <xdr:colOff>67733</xdr:colOff>
      <xdr:row>37</xdr:row>
      <xdr:rowOff>144780</xdr:rowOff>
    </xdr:from>
    <xdr:to>
      <xdr:col>3</xdr:col>
      <xdr:colOff>29633</xdr:colOff>
      <xdr:row>50</xdr:row>
      <xdr:rowOff>122551</xdr:rowOff>
    </xdr:to>
    <mc:AlternateContent xmlns:mc="http://schemas.openxmlformats.org/markup-compatibility/2006" xmlns:a14="http://schemas.microsoft.com/office/drawing/2010/main">
      <mc:Choice Requires="a14">
        <xdr:graphicFrame macro="">
          <xdr:nvGraphicFramePr>
            <xdr:cNvPr id="6" name="Kategori">
              <a:extLst>
                <a:ext uri="{FF2B5EF4-FFF2-40B4-BE49-F238E27FC236}">
                  <a16:creationId xmlns:a16="http://schemas.microsoft.com/office/drawing/2014/main" id="{71F63589-1357-29A5-34E9-3BC3C9633726}"/>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67733" y="7786489"/>
              <a:ext cx="2501900" cy="26588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444500</xdr:colOff>
      <xdr:row>17</xdr:row>
      <xdr:rowOff>26231</xdr:rowOff>
    </xdr:from>
    <xdr:to>
      <xdr:col>21</xdr:col>
      <xdr:colOff>50800</xdr:colOff>
      <xdr:row>36</xdr:row>
      <xdr:rowOff>13530</xdr:rowOff>
    </xdr:to>
    <xdr:graphicFrame macro="">
      <xdr:nvGraphicFramePr>
        <xdr:cNvPr id="8" name="Chart 7">
          <a:extLst>
            <a:ext uri="{FF2B5EF4-FFF2-40B4-BE49-F238E27FC236}">
              <a16:creationId xmlns:a16="http://schemas.microsoft.com/office/drawing/2014/main" id="{AF3DB1BB-6F26-744D-A2FE-CA99BCC16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17</xdr:row>
      <xdr:rowOff>34780</xdr:rowOff>
    </xdr:from>
    <xdr:to>
      <xdr:col>3</xdr:col>
      <xdr:colOff>50800</xdr:colOff>
      <xdr:row>30</xdr:row>
      <xdr:rowOff>12551</xdr:rowOff>
    </xdr:to>
    <mc:AlternateContent xmlns:mc="http://schemas.openxmlformats.org/markup-compatibility/2006" xmlns:a14="http://schemas.microsoft.com/office/drawing/2010/main">
      <mc:Choice Requires="a14">
        <xdr:graphicFrame macro="">
          <xdr:nvGraphicFramePr>
            <xdr:cNvPr id="13" name="Years">
              <a:extLst>
                <a:ext uri="{FF2B5EF4-FFF2-40B4-BE49-F238E27FC236}">
                  <a16:creationId xmlns:a16="http://schemas.microsoft.com/office/drawing/2014/main" id="{077BB542-8CE0-3335-0C4B-866407E14892}"/>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8900" y="3551703"/>
              <a:ext cx="2501900" cy="2658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438149</xdr:colOff>
      <xdr:row>37</xdr:row>
      <xdr:rowOff>143933</xdr:rowOff>
    </xdr:from>
    <xdr:to>
      <xdr:col>21</xdr:col>
      <xdr:colOff>82549</xdr:colOff>
      <xdr:row>60</xdr:row>
      <xdr:rowOff>93132</xdr:rowOff>
    </xdr:to>
    <xdr:graphicFrame macro="">
      <xdr:nvGraphicFramePr>
        <xdr:cNvPr id="18" name="Chart 17">
          <a:extLst>
            <a:ext uri="{FF2B5EF4-FFF2-40B4-BE49-F238E27FC236}">
              <a16:creationId xmlns:a16="http://schemas.microsoft.com/office/drawing/2014/main" id="{B3036DA7-F3B4-274F-A7C9-85C9C59C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17</xdr:row>
      <xdr:rowOff>34787</xdr:rowOff>
    </xdr:from>
    <xdr:to>
      <xdr:col>14</xdr:col>
      <xdr:colOff>203200</xdr:colOff>
      <xdr:row>36</xdr:row>
      <xdr:rowOff>47486</xdr:rowOff>
    </xdr:to>
    <xdr:graphicFrame macro="">
      <xdr:nvGraphicFramePr>
        <xdr:cNvPr id="19" name="Chart 18">
          <a:extLst>
            <a:ext uri="{FF2B5EF4-FFF2-40B4-BE49-F238E27FC236}">
              <a16:creationId xmlns:a16="http://schemas.microsoft.com/office/drawing/2014/main" id="{F03E11CC-4F8C-A344-B808-C71DC5810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37</xdr:row>
      <xdr:rowOff>146050</xdr:rowOff>
    </xdr:from>
    <xdr:to>
      <xdr:col>14</xdr:col>
      <xdr:colOff>203200</xdr:colOff>
      <xdr:row>60</xdr:row>
      <xdr:rowOff>82550</xdr:rowOff>
    </xdr:to>
    <xdr:graphicFrame macro="">
      <xdr:nvGraphicFramePr>
        <xdr:cNvPr id="20" name="Chart 19">
          <a:extLst>
            <a:ext uri="{FF2B5EF4-FFF2-40B4-BE49-F238E27FC236}">
              <a16:creationId xmlns:a16="http://schemas.microsoft.com/office/drawing/2014/main" id="{4C433B47-CFDA-214E-B669-8B7E9DE01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360795</xdr:colOff>
      <xdr:row>7</xdr:row>
      <xdr:rowOff>144318</xdr:rowOff>
    </xdr:from>
    <xdr:ext cx="184731" cy="264560"/>
    <xdr:sp macro="" textlink="">
      <xdr:nvSpPr>
        <xdr:cNvPr id="3" name="TextBox 2">
          <a:extLst>
            <a:ext uri="{FF2B5EF4-FFF2-40B4-BE49-F238E27FC236}">
              <a16:creationId xmlns:a16="http://schemas.microsoft.com/office/drawing/2014/main" id="{B294B367-EE2B-19A7-2888-74A5AB0AEB87}"/>
            </a:ext>
          </a:extLst>
        </xdr:cNvPr>
        <xdr:cNvSpPr txBox="1"/>
      </xdr:nvSpPr>
      <xdr:spPr>
        <a:xfrm>
          <a:off x="5469659" y="15586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 ASUS" refreshedDate="45945.366929745367" backgroundQuery="1" createdVersion="8" refreshedVersion="8" minRefreshableVersion="3" recordCount="0" supportSubquery="1" supportAdvancedDrill="1" xr:uid="{9B296617-FBDE-4AF0-8F13-0D17C5ED1801}">
  <cacheSource type="external" connectionId="1"/>
  <cacheFields count="1">
    <cacheField name="[Measures].[Distinct Count of Booking Order]" caption="Distinct Count of Booking Order" numFmtId="0" hierarchy="11" level="32767"/>
  </cacheFields>
  <cacheHierarchies count="12">
    <cacheHierarchy uniqueName="[Table1].[Tanggal]" caption="Tanggal" attribute="1" time="1" defaultMemberUniqueName="[Table1].[Tanggal].[All]" allUniqueName="[Table1].[Tanggal].[All]" dimensionUniqueName="[Table1]" displayFolder="" count="0" memberValueDatatype="7" unbalanced="0"/>
    <cacheHierarchy uniqueName="[Table1].[Booking Order]" caption="Booking Order" attribute="1" defaultMemberUniqueName="[Table1].[Booking Order].[All]" allUniqueName="[Table1].[Booking Order].[All]" dimensionUniqueName="[Table1]" displayFolder="" count="0" memberValueDatatype="130" unbalanced="0"/>
    <cacheHierarchy uniqueName="[Table1].[Menu]" caption="Menu" attribute="1" defaultMemberUniqueName="[Table1].[Menu].[All]" allUniqueName="[Table1].[Menu].[All]" dimensionUniqueName="[Table1]" displayFolder="" count="0" memberValueDatatype="130" unbalanced="0"/>
    <cacheHierarchy uniqueName="[Table1].[Kategori]" caption="Kategori" attribute="1" defaultMemberUniqueName="[Table1].[Kategori].[All]" allUniqueName="[Table1].[Kategori].[All]" dimensionUniqueName="[Table1]" displayFolder="" count="0" memberValueDatatype="130" unbalanced="0"/>
    <cacheHierarchy uniqueName="[Table1].[Jumlah]" caption="Jumlah" attribute="1" defaultMemberUniqueName="[Table1].[Jumlah].[All]" allUniqueName="[Table1].[Jumlah].[All]" dimensionUniqueName="[Table1]" displayFolder="" count="0" memberValueDatatype="20" unbalanced="0"/>
    <cacheHierarchy uniqueName="[Table1].[Harga Satuan]" caption="Harga Satuan" attribute="1" defaultMemberUniqueName="[Table1].[Harga Satuan].[All]" allUniqueName="[Table1].[Harga Satuan].[All]" dimensionUniqueName="[Table1]" displayFolder="" count="0" memberValueDatatype="20" unbalanced="0"/>
    <cacheHierarchy uniqueName="[Table1].[Pembayaran]" caption="Pembayaran" attribute="1" defaultMemberUniqueName="[Table1].[Pembayaran].[All]" allUniqueName="[Table1].[Pembayaran].[All]" dimensionUniqueName="[Table1]" displayFolder="" count="0" memberValueDatatype="130" unbalanced="0"/>
    <cacheHierarchy uniqueName="[Table1].[Total]" caption="Total" attribute="1" defaultMemberUniqueName="[Table1].[Total].[All]" allUniqueName="[Table1].[Total].[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Booking Order]" caption="Count of Booking Order" measure="1" displayFolder="" measureGroup="Table1" count="0" hidden="1">
      <extLst>
        <ext xmlns:x15="http://schemas.microsoft.com/office/spreadsheetml/2010/11/main" uri="{B97F6D7D-B522-45F9-BDA1-12C45D357490}">
          <x15:cacheHierarchy aggregatedColumn="1"/>
        </ext>
      </extLst>
    </cacheHierarchy>
    <cacheHierarchy uniqueName="[Measures].[Distinct Count of Booking Order]" caption="Distinct Count of Booking Order"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icrosoft Office User" refreshedDate="45945.410555555558" createdVersion="8" refreshedVersion="8" minRefreshableVersion="3" recordCount="20" xr:uid="{CFFBCC0D-6579-3B49-8C23-FF9FB332F7ED}">
  <cacheSource type="worksheet">
    <worksheetSource name="Table1"/>
  </cacheSource>
  <cacheFields count="9">
    <cacheField name="Tanggal" numFmtId="14">
      <sharedItems containsSemiMixedTypes="0" containsNonDate="0" containsDate="1" containsString="0" minDate="2024-05-12T00:00:00" maxDate="2025-10-01T00:00:00" count="12">
        <d v="2025-09-30T00:00:00"/>
        <d v="2025-09-26T00:00:00"/>
        <d v="2025-08-24T00:00:00"/>
        <d v="2025-08-23T00:00:00"/>
        <d v="2025-08-22T00:00:00"/>
        <d v="2025-07-18T00:00:00"/>
        <d v="2025-07-15T00:00:00"/>
        <d v="2025-06-15T00:00:00"/>
        <d v="2025-06-13T00:00:00"/>
        <d v="2025-06-12T00:00:00"/>
        <d v="2025-05-12T00:00:00"/>
        <d v="2024-05-12T00:00:00"/>
      </sharedItems>
      <fieldGroup par="8" base="0">
        <rangePr groupBy="months" startDate="2024-05-12T00:00:00" endDate="2025-10-01T00:00:00"/>
        <groupItems count="14">
          <s v="&lt;12/05/24"/>
          <s v="Jan"/>
          <s v="Feb"/>
          <s v="Mar"/>
          <s v="Apr"/>
          <s v="May"/>
          <s v="Jun"/>
          <s v="Jul"/>
          <s v="Aug"/>
          <s v="Sep"/>
          <s v="Oct"/>
          <s v="Nov"/>
          <s v="Dec"/>
          <s v="&gt;01/10/25"/>
        </groupItems>
      </fieldGroup>
    </cacheField>
    <cacheField name="Booking Order" numFmtId="0">
      <sharedItems/>
    </cacheField>
    <cacheField name="Menu" numFmtId="0">
      <sharedItems count="6">
        <s v="Nasi Goreng"/>
        <s v="Bebek Bakar"/>
        <s v="Nasi Telor"/>
        <s v="Air Mineral (Aqua)"/>
        <s v="Donat"/>
        <s v="Milkshake"/>
      </sharedItems>
    </cacheField>
    <cacheField name="Kategori" numFmtId="0">
      <sharedItems count="3">
        <s v="Makanan"/>
        <s v="Minuman"/>
        <s v="Cake"/>
      </sharedItems>
    </cacheField>
    <cacheField name="Jumlah" numFmtId="0">
      <sharedItems containsSemiMixedTypes="0" containsString="0" containsNumber="1" containsInteger="1" minValue="1" maxValue="2"/>
    </cacheField>
    <cacheField name="Harga Satuan" numFmtId="0">
      <sharedItems containsSemiMixedTypes="0" containsString="0" containsNumber="1" containsInteger="1" minValue="4000" maxValue="32000"/>
    </cacheField>
    <cacheField name="Pembayaran" numFmtId="0">
      <sharedItems count="2">
        <s v="CASH"/>
        <s v="QRIS"/>
      </sharedItems>
    </cacheField>
    <cacheField name="Total" numFmtId="0">
      <sharedItems containsSemiMixedTypes="0" containsString="0" containsNumber="1" containsInteger="1" minValue="4000" maxValue="32000"/>
    </cacheField>
    <cacheField name="Years" numFmtId="0" databaseField="0">
      <fieldGroup base="0">
        <rangePr groupBy="years" startDate="2024-05-12T00:00:00" endDate="2025-10-01T00:00:00"/>
        <groupItems count="4">
          <s v="&lt;12/05/24"/>
          <s v="2024"/>
          <s v="2025"/>
          <s v="&gt;01/10/25"/>
        </groupItems>
      </fieldGroup>
    </cacheField>
  </cacheFields>
  <extLst>
    <ext xmlns:x14="http://schemas.microsoft.com/office/spreadsheetml/2009/9/main" uri="{725AE2AE-9491-48be-B2B4-4EB974FC3084}">
      <x14:pivotCacheDefinition pivotCacheId="6773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ROXC-9SF6PGF1"/>
    <x v="0"/>
    <x v="0"/>
    <n v="1"/>
    <n v="12000"/>
    <x v="0"/>
    <n v="12000"/>
  </r>
  <r>
    <x v="0"/>
    <s v="ROXC-9SF6PGF1"/>
    <x v="1"/>
    <x v="0"/>
    <n v="1"/>
    <n v="32000"/>
    <x v="0"/>
    <n v="32000"/>
  </r>
  <r>
    <x v="1"/>
    <s v="ROXC-MSP3E1EW"/>
    <x v="2"/>
    <x v="0"/>
    <n v="1"/>
    <n v="12000"/>
    <x v="1"/>
    <n v="12000"/>
  </r>
  <r>
    <x v="2"/>
    <s v="ROXC-X7FH0524"/>
    <x v="1"/>
    <x v="0"/>
    <n v="1"/>
    <n v="32000"/>
    <x v="0"/>
    <n v="32000"/>
  </r>
  <r>
    <x v="3"/>
    <s v="ROXC-ZRZ7PF7A"/>
    <x v="3"/>
    <x v="1"/>
    <n v="1"/>
    <n v="4000"/>
    <x v="0"/>
    <n v="4000"/>
  </r>
  <r>
    <x v="3"/>
    <s v="ROXC-B797DHWJ"/>
    <x v="4"/>
    <x v="2"/>
    <n v="1"/>
    <n v="8000"/>
    <x v="1"/>
    <n v="8000"/>
  </r>
  <r>
    <x v="4"/>
    <s v="ROXC-N8VH4P9X"/>
    <x v="3"/>
    <x v="1"/>
    <n v="1"/>
    <n v="4000"/>
    <x v="1"/>
    <n v="4000"/>
  </r>
  <r>
    <x v="5"/>
    <s v="ROXC-P7V8752Z"/>
    <x v="0"/>
    <x v="0"/>
    <n v="1"/>
    <n v="30000"/>
    <x v="0"/>
    <n v="30000"/>
  </r>
  <r>
    <x v="6"/>
    <s v="ROXC-WEHPYYWV"/>
    <x v="0"/>
    <x v="0"/>
    <n v="1"/>
    <n v="30000"/>
    <x v="1"/>
    <n v="30000"/>
  </r>
  <r>
    <x v="6"/>
    <s v="ROXC-WEHPYYWV"/>
    <x v="5"/>
    <x v="1"/>
    <n v="1"/>
    <n v="14000"/>
    <x v="1"/>
    <n v="14000"/>
  </r>
  <r>
    <x v="6"/>
    <s v="ROXC-M1E41Z4N"/>
    <x v="0"/>
    <x v="0"/>
    <n v="1"/>
    <n v="30000"/>
    <x v="0"/>
    <n v="30000"/>
  </r>
  <r>
    <x v="7"/>
    <s v="ROXC-M1E41Z4N"/>
    <x v="1"/>
    <x v="0"/>
    <n v="1"/>
    <n v="32000"/>
    <x v="0"/>
    <n v="32000"/>
  </r>
  <r>
    <x v="8"/>
    <s v="ROXC-B9JJXD84"/>
    <x v="3"/>
    <x v="1"/>
    <n v="1"/>
    <n v="4000"/>
    <x v="0"/>
    <n v="4000"/>
  </r>
  <r>
    <x v="9"/>
    <s v="ROXC-C1R6G3YT"/>
    <x v="3"/>
    <x v="1"/>
    <n v="1"/>
    <n v="4000"/>
    <x v="1"/>
    <n v="4000"/>
  </r>
  <r>
    <x v="10"/>
    <s v="ROXC-1HRNYZ5D"/>
    <x v="4"/>
    <x v="2"/>
    <n v="1"/>
    <n v="8000"/>
    <x v="1"/>
    <n v="8000"/>
  </r>
  <r>
    <x v="10"/>
    <s v="ROXC-W2GPE0AC"/>
    <x v="4"/>
    <x v="2"/>
    <n v="1"/>
    <n v="8000"/>
    <x v="0"/>
    <n v="8000"/>
  </r>
  <r>
    <x v="10"/>
    <s v="ROXC-JPM1E5CV"/>
    <x v="4"/>
    <x v="2"/>
    <n v="1"/>
    <n v="8000"/>
    <x v="1"/>
    <n v="8000"/>
  </r>
  <r>
    <x v="10"/>
    <s v="ROXC-EKGNGM0J"/>
    <x v="5"/>
    <x v="1"/>
    <n v="2"/>
    <n v="14000"/>
    <x v="1"/>
    <n v="14000"/>
  </r>
  <r>
    <x v="11"/>
    <s v="ROXC-4F5NDD83"/>
    <x v="4"/>
    <x v="2"/>
    <n v="1"/>
    <n v="8000"/>
    <x v="1"/>
    <n v="8000"/>
  </r>
  <r>
    <x v="11"/>
    <s v="ROXC-2D7R0R5P"/>
    <x v="4"/>
    <x v="2"/>
    <n v="1"/>
    <n v="8000"/>
    <x v="0"/>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BE429-835C-CB40-BADA-94F9165D93A6}"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ETODE PEMBAYARAN">
  <location ref="J13:K16" firstHeaderRow="1" firstDataRow="1" firstDataCol="1"/>
  <pivotFields count="9">
    <pivotField numFmtId="14" showAll="0"/>
    <pivotField showAll="0"/>
    <pivotField showAll="0"/>
    <pivotField showAll="0"/>
    <pivotField showAll="0"/>
    <pivotField showAll="0"/>
    <pivotField axis="axisRow" dataField="1" showAll="0">
      <items count="3">
        <item x="0"/>
        <item x="1"/>
        <item t="default"/>
      </items>
    </pivotField>
    <pivotField showAll="0"/>
    <pivotField showAll="0" defaultSubtotal="0"/>
  </pivotFields>
  <rowFields count="1">
    <field x="6"/>
  </rowFields>
  <rowItems count="3">
    <i>
      <x/>
    </i>
    <i>
      <x v="1"/>
    </i>
    <i t="grand">
      <x/>
    </i>
  </rowItems>
  <colItems count="1">
    <i/>
  </colItems>
  <dataFields count="1">
    <dataField name="JUMLAH PEMBAYARAN" fld="6" subtotal="count" baseField="0" baseItem="0"/>
  </dataFields>
  <formats count="32">
    <format dxfId="178">
      <pivotArea outline="0" collapsedLevelsAreSubtotals="1" fieldPosition="0"/>
    </format>
    <format dxfId="177">
      <pivotArea dataOnly="0" labelOnly="1" outline="0" axis="axisValues" fieldPosition="0"/>
    </format>
    <format dxfId="176">
      <pivotArea outline="0" collapsedLevelsAreSubtotals="1" fieldPosition="0"/>
    </format>
    <format dxfId="175">
      <pivotArea dataOnly="0" labelOnly="1" outline="0" axis="axisValues" fieldPosition="0"/>
    </format>
    <format dxfId="174">
      <pivotArea field="6" type="button" dataOnly="0" labelOnly="1" outline="0" axis="axisRow" fieldPosition="0"/>
    </format>
    <format dxfId="173">
      <pivotArea field="6" type="button" dataOnly="0" labelOnly="1" outline="0" axis="axisRow" fieldPosition="0"/>
    </format>
    <format dxfId="172">
      <pivotArea field="6" type="button" dataOnly="0" labelOnly="1" outline="0" axis="axisRow" fieldPosition="0"/>
    </format>
    <format dxfId="171">
      <pivotArea dataOnly="0" labelOnly="1" outline="0" axis="axisValues" fieldPosition="0"/>
    </format>
    <format dxfId="170">
      <pivotArea field="6" type="button" dataOnly="0" labelOnly="1" outline="0" axis="axisRow" fieldPosition="0"/>
    </format>
    <format dxfId="169">
      <pivotArea dataOnly="0" labelOnly="1" outline="0" axis="axisValues" fieldPosition="0"/>
    </format>
    <format dxfId="168">
      <pivotArea grandRow="1" outline="0" collapsedLevelsAreSubtotals="1" fieldPosition="0"/>
    </format>
    <format dxfId="167">
      <pivotArea dataOnly="0" labelOnly="1" grandRow="1" outline="0" fieldPosition="0"/>
    </format>
    <format dxfId="166">
      <pivotArea grandRow="1" outline="0" collapsedLevelsAreSubtotals="1" fieldPosition="0"/>
    </format>
    <format dxfId="165">
      <pivotArea dataOnly="0" labelOnly="1" grandRow="1" outline="0" fieldPosition="0"/>
    </format>
    <format dxfId="164">
      <pivotArea grandRow="1" outline="0" collapsedLevelsAreSubtotals="1" fieldPosition="0"/>
    </format>
    <format dxfId="163">
      <pivotArea dataOnly="0" labelOnly="1" grandRow="1" outline="0" fieldPosition="0"/>
    </format>
    <format dxfId="162">
      <pivotArea grandRow="1" outline="0" collapsedLevelsAreSubtotals="1" fieldPosition="0"/>
    </format>
    <format dxfId="161">
      <pivotArea dataOnly="0" labelOnly="1" grandRow="1" outline="0" fieldPosition="0"/>
    </format>
    <format dxfId="160">
      <pivotArea type="all" dataOnly="0" outline="0" fieldPosition="0"/>
    </format>
    <format dxfId="159">
      <pivotArea grandRow="1" outline="0" collapsedLevelsAreSubtotals="1" fieldPosition="0"/>
    </format>
    <format dxfId="158">
      <pivotArea type="all" dataOnly="0" outline="0" fieldPosition="0"/>
    </format>
    <format dxfId="157">
      <pivotArea outline="0" collapsedLevelsAreSubtotals="1" fieldPosition="0"/>
    </format>
    <format dxfId="156">
      <pivotArea field="6" type="button" dataOnly="0" labelOnly="1" outline="0" axis="axisRow" fieldPosition="0"/>
    </format>
    <format dxfId="155">
      <pivotArea dataOnly="0" labelOnly="1" fieldPosition="0">
        <references count="1">
          <reference field="6" count="0"/>
        </references>
      </pivotArea>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6" type="button" dataOnly="0" labelOnly="1" outline="0" axis="axisRow" fieldPosition="0"/>
    </format>
    <format dxfId="149">
      <pivotArea dataOnly="0" labelOnly="1" fieldPosition="0">
        <references count="1">
          <reference field="6" count="0"/>
        </references>
      </pivotArea>
    </format>
    <format dxfId="148">
      <pivotArea dataOnly="0" labelOnly="1" grandRow="1" outline="0" fieldPosition="0"/>
    </format>
    <format dxfId="147">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71F62-90D0-8B48-9C49-E26DC3A3A002}" name="PivotTable9"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9">
    <pivotField numFmtId="14" showAll="0"/>
    <pivotField showAll="0"/>
    <pivotField showAll="0"/>
    <pivotField showAll="0"/>
    <pivotField dataField="1" showAll="0"/>
    <pivotField showAll="0"/>
    <pivotField showAll="0"/>
    <pivotField showAll="0"/>
    <pivotField showAll="0" defaultSubtotal="0"/>
  </pivotFields>
  <rowItems count="1">
    <i/>
  </rowItems>
  <colItems count="1">
    <i/>
  </colItems>
  <dataFields count="1">
    <dataField name="TOTAL MENU TERJUAL" fld="4" baseField="0" baseItem="0"/>
  </dataFields>
  <formats count="10">
    <format dxfId="188">
      <pivotArea dataOnly="0" labelOnly="1" outline="0" axis="axisValues" fieldPosition="0"/>
    </format>
    <format dxfId="187">
      <pivotArea dataOnly="0" labelOnly="1" outline="0" axis="axisValues"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dataOnly="0" labelOnly="1" outline="0" axis="axisValues" fieldPosition="0"/>
    </format>
    <format dxfId="181">
      <pivotArea dataOnly="0" labelOnly="1" outline="0" axis="axisValues" fieldPosition="0"/>
    </format>
    <format dxfId="180">
      <pivotArea outline="0" collapsedLevelsAreSubtotals="1" fieldPosition="0"/>
    </format>
    <format dxfId="1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B56E7-4236-6747-8B7F-BC372A2E2CFA}"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9">
    <pivotField numFmtId="14" showAll="0"/>
    <pivotField showAll="0"/>
    <pivotField showAll="0"/>
    <pivotField showAll="0"/>
    <pivotField showAll="0"/>
    <pivotField showAll="0"/>
    <pivotField showAll="0"/>
    <pivotField dataField="1" showAll="0"/>
    <pivotField showAll="0" defaultSubtotal="0"/>
  </pivotFields>
  <rowItems count="1">
    <i/>
  </rowItems>
  <colItems count="1">
    <i/>
  </colItems>
  <dataFields count="1">
    <dataField name="TOTAL PENJUALAN" fld="7" baseField="0" baseItem="0" numFmtId="42"/>
  </dataFields>
  <formats count="13">
    <format dxfId="201">
      <pivotArea dataOnly="0" labelOnly="1" outline="0" axis="axisValues"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dataOnly="0" labelOnly="1" outline="0" axis="axisValues" fieldPosition="0"/>
    </format>
    <format dxfId="192">
      <pivotArea type="all" dataOnly="0" outline="0" fieldPosition="0"/>
    </format>
    <format dxfId="191">
      <pivotArea outline="0" collapsedLevelsAreSubtotals="1" fieldPosition="0"/>
    </format>
    <format dxfId="190">
      <pivotArea dataOnly="0" labelOnly="1" outline="0" axis="axisValues" fieldPosition="0"/>
    </format>
    <format dxfId="1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6DA064-8CBC-8D45-A7A7-34894FEC45CB}" name="PivotTable6" cacheId="3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NAMA MENU">
  <location ref="G13:H18" firstHeaderRow="1" firstDataRow="1" firstDataCol="1"/>
  <pivotFields count="9">
    <pivotField numFmtId="14" showAll="0"/>
    <pivotField showAll="0"/>
    <pivotField axis="axisRow" showAll="0" measureFilter="1" sortType="descending">
      <items count="7">
        <item x="2"/>
        <item x="0"/>
        <item x="5"/>
        <item x="4"/>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s>
  <rowFields count="1">
    <field x="2"/>
  </rowFields>
  <rowItems count="5">
    <i>
      <x v="3"/>
    </i>
    <i>
      <x v="5"/>
    </i>
    <i>
      <x v="1"/>
    </i>
    <i>
      <x v="2"/>
    </i>
    <i>
      <x v="4"/>
    </i>
  </rowItems>
  <colItems count="1">
    <i/>
  </colItems>
  <dataFields count="1">
    <dataField name="JUMLAH TERJUAL" fld="4" baseField="0" baseItem="0"/>
  </dataFields>
  <formats count="25">
    <format dxfId="226">
      <pivotArea outline="0" collapsedLevelsAreSubtotals="1" fieldPosition="0"/>
    </format>
    <format dxfId="225">
      <pivotArea dataOnly="0" labelOnly="1" outline="0" axis="axisValues" fieldPosition="0"/>
    </format>
    <format dxfId="224">
      <pivotArea field="2" type="button" dataOnly="0" labelOnly="1" outline="0" axis="axisRow" fieldPosition="0"/>
    </format>
    <format dxfId="223">
      <pivotArea dataOnly="0" labelOnly="1" outline="0" axis="axisValues" fieldPosition="0"/>
    </format>
    <format dxfId="222">
      <pivotArea field="2" type="button" dataOnly="0" labelOnly="1" outline="0" axis="axisRow" fieldPosition="0"/>
    </format>
    <format dxfId="221">
      <pivotArea dataOnly="0" labelOnly="1" outline="0" axis="axisValues" fieldPosition="0"/>
    </format>
    <format dxfId="220">
      <pivotArea grandRow="1" outline="0" collapsedLevelsAreSubtotals="1" fieldPosition="0"/>
    </format>
    <format dxfId="219">
      <pivotArea dataOnly="0" labelOnly="1" grandRow="1" outline="0" fieldPosition="0"/>
    </format>
    <format dxfId="218">
      <pivotArea grandRow="1" outline="0" collapsedLevelsAreSubtotals="1" fieldPosition="0"/>
    </format>
    <format dxfId="217">
      <pivotArea dataOnly="0" labelOnly="1" grandRow="1" outline="0" fieldPosition="0"/>
    </format>
    <format dxfId="216">
      <pivotArea field="2" type="button" dataOnly="0" labelOnly="1" outline="0" axis="axisRow" fieldPosition="0"/>
    </format>
    <format dxfId="215">
      <pivotArea field="2" type="button" dataOnly="0" labelOnly="1" outline="0" axis="axisRow" fieldPosition="0"/>
    </format>
    <format dxfId="214">
      <pivotArea dataOnly="0" labelOnly="1" outline="0" axis="axisValues" fieldPosition="0"/>
    </format>
    <format dxfId="213">
      <pivotArea dataOnly="0" labelOnly="1" outline="0" axis="axisValues" fieldPosition="0"/>
    </format>
    <format dxfId="212">
      <pivotArea type="all" dataOnly="0" outline="0" fieldPosition="0"/>
    </format>
    <format dxfId="211">
      <pivotArea outline="0" collapsedLevelsAreSubtotals="1" fieldPosition="0"/>
    </format>
    <format dxfId="210">
      <pivotArea field="2" type="button" dataOnly="0" labelOnly="1" outline="0" axis="axisRow" fieldPosition="0"/>
    </format>
    <format dxfId="209">
      <pivotArea dataOnly="0" labelOnly="1" fieldPosition="0">
        <references count="1">
          <reference field="2" count="5">
            <x v="1"/>
            <x v="2"/>
            <x v="3"/>
            <x v="4"/>
            <x v="5"/>
          </reference>
        </references>
      </pivotArea>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2" type="button" dataOnly="0" labelOnly="1" outline="0" axis="axisRow" fieldPosition="0"/>
    </format>
    <format dxfId="203">
      <pivotArea dataOnly="0" labelOnly="1" fieldPosition="0">
        <references count="1">
          <reference field="2" count="5">
            <x v="1"/>
            <x v="2"/>
            <x v="3"/>
            <x v="4"/>
            <x v="5"/>
          </reference>
        </references>
      </pivotArea>
    </format>
    <format dxfId="20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08928-392B-1342-9D03-8E9DA4273A32}"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PENJUALAN TAHUN/BULAN">
  <location ref="A13:B22" firstHeaderRow="1" firstDataRow="1" firstDataCol="1"/>
  <pivotFields count="9">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axis="axisRow" showAll="0">
      <items count="5">
        <item x="2"/>
        <item x="1"/>
        <item x="0"/>
        <item x="3"/>
        <item t="default"/>
      </items>
    </pivotField>
  </pivotFields>
  <rowFields count="2">
    <field x="8"/>
    <field x="0"/>
  </rowFields>
  <rowItems count="9">
    <i>
      <x/>
    </i>
    <i r="1">
      <x v="5"/>
    </i>
    <i r="1">
      <x v="6"/>
    </i>
    <i r="1">
      <x v="7"/>
    </i>
    <i r="1">
      <x v="8"/>
    </i>
    <i r="1">
      <x v="9"/>
    </i>
    <i>
      <x v="1"/>
    </i>
    <i r="1">
      <x v="5"/>
    </i>
    <i t="grand">
      <x/>
    </i>
  </rowItems>
  <colItems count="1">
    <i/>
  </colItems>
  <dataFields count="1">
    <dataField name="TOTAL PENJUALAN" fld="7" baseField="0" baseItem="0"/>
  </dataFields>
  <formats count="34">
    <format dxfId="260">
      <pivotArea outline="0" collapsedLevelsAreSubtotals="1" fieldPosition="0"/>
    </format>
    <format dxfId="259">
      <pivotArea dataOnly="0" labelOnly="1" outline="0" axis="axisValues" fieldPosition="0"/>
    </format>
    <format dxfId="258">
      <pivotArea field="8" type="button" dataOnly="0" labelOnly="1" outline="0" axis="axisRow" fieldPosition="0"/>
    </format>
    <format dxfId="257">
      <pivotArea dataOnly="0" labelOnly="1" outline="0" axis="axisValues" fieldPosition="0"/>
    </format>
    <format dxfId="256">
      <pivotArea field="8" type="button" dataOnly="0" labelOnly="1" outline="0" axis="axisRow" fieldPosition="0"/>
    </format>
    <format dxfId="255">
      <pivotArea dataOnly="0" labelOnly="1" outline="0" axis="axisValues" fieldPosition="0"/>
    </format>
    <format dxfId="254">
      <pivotArea field="8" type="button" dataOnly="0" labelOnly="1" outline="0" axis="axisRow" fieldPosition="0"/>
    </format>
    <format dxfId="253">
      <pivotArea dataOnly="0" labelOnly="1" outline="0" axis="axisValues" fieldPosition="0"/>
    </format>
    <format dxfId="252">
      <pivotArea grandRow="1" outline="0" collapsedLevelsAreSubtotals="1" fieldPosition="0"/>
    </format>
    <format dxfId="251">
      <pivotArea dataOnly="0" labelOnly="1" grandRow="1" outline="0" fieldPosition="0"/>
    </format>
    <format dxfId="250">
      <pivotArea grandRow="1" outline="0" collapsedLevelsAreSubtotals="1" fieldPosition="0"/>
    </format>
    <format dxfId="249">
      <pivotArea dataOnly="0" labelOnly="1" grandRow="1" outline="0" fieldPosition="0"/>
    </format>
    <format dxfId="248">
      <pivotArea grandRow="1" outline="0" collapsedLevelsAreSubtotals="1" fieldPosition="0"/>
    </format>
    <format dxfId="247">
      <pivotArea dataOnly="0" labelOnly="1" grandRow="1" outline="0" fieldPosition="0"/>
    </format>
    <format dxfId="246">
      <pivotArea field="8" type="button" dataOnly="0" labelOnly="1" outline="0" axis="axisRow" fieldPosition="0"/>
    </format>
    <format dxfId="245">
      <pivotArea dataOnly="0" labelOnly="1" outline="0" axis="axisValues" fieldPosition="0"/>
    </format>
    <format dxfId="244">
      <pivotArea field="8" type="button" dataOnly="0" labelOnly="1" outline="0" axis="axisRow"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field="8" type="button" dataOnly="0" labelOnly="1" outline="0" axis="axisRow" fieldPosition="0"/>
    </format>
    <format dxfId="239">
      <pivotArea dataOnly="0" labelOnly="1" fieldPosition="0">
        <references count="1">
          <reference field="8" count="0"/>
        </references>
      </pivotArea>
    </format>
    <format dxfId="238">
      <pivotArea dataOnly="0" labelOnly="1" grandRow="1" outline="0" fieldPosition="0"/>
    </format>
    <format dxfId="237">
      <pivotArea dataOnly="0" labelOnly="1" fieldPosition="0">
        <references count="2">
          <reference field="0" count="5">
            <x v="5"/>
            <x v="6"/>
            <x v="7"/>
            <x v="8"/>
            <x v="9"/>
          </reference>
          <reference field="8" count="1" selected="0">
            <x v="0"/>
          </reference>
        </references>
      </pivotArea>
    </format>
    <format dxfId="236">
      <pivotArea dataOnly="0" labelOnly="1" fieldPosition="0">
        <references count="2">
          <reference field="0" count="1">
            <x v="5"/>
          </reference>
          <reference field="8" count="1" selected="0">
            <x v="1"/>
          </reference>
        </references>
      </pivotArea>
    </format>
    <format dxfId="235">
      <pivotArea dataOnly="0" labelOnly="1" outline="0" axis="axisValues" fieldPosition="0"/>
    </format>
    <format dxfId="234">
      <pivotArea type="all" dataOnly="0" outline="0" fieldPosition="0"/>
    </format>
    <format dxfId="233">
      <pivotArea outline="0" collapsedLevelsAreSubtotals="1" fieldPosition="0"/>
    </format>
    <format dxfId="232">
      <pivotArea field="8" type="button" dataOnly="0" labelOnly="1" outline="0" axis="axisRow" fieldPosition="0"/>
    </format>
    <format dxfId="231">
      <pivotArea dataOnly="0" labelOnly="1" fieldPosition="0">
        <references count="1">
          <reference field="8" count="0"/>
        </references>
      </pivotArea>
    </format>
    <format dxfId="230">
      <pivotArea dataOnly="0" labelOnly="1" grandRow="1" outline="0" fieldPosition="0"/>
    </format>
    <format dxfId="229">
      <pivotArea dataOnly="0" labelOnly="1" fieldPosition="0">
        <references count="2">
          <reference field="0" count="5">
            <x v="5"/>
            <x v="6"/>
            <x v="7"/>
            <x v="8"/>
            <x v="9"/>
          </reference>
          <reference field="8" count="1" selected="0">
            <x v="0"/>
          </reference>
        </references>
      </pivotArea>
    </format>
    <format dxfId="228">
      <pivotArea dataOnly="0" labelOnly="1" fieldPosition="0">
        <references count="2">
          <reference field="0" count="1">
            <x v="5"/>
          </reference>
          <reference field="8" count="1" selected="0">
            <x v="1"/>
          </reference>
        </references>
      </pivotArea>
    </format>
    <format dxfId="227">
      <pivotArea dataOnly="0" labelOnly="1" outline="0" axis="axisValues" fieldPosition="0"/>
    </format>
  </formats>
  <chartFormats count="8">
    <chartFormat chart="11" format="3"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3">
          <reference field="4294967294" count="1" selected="0">
            <x v="0"/>
          </reference>
          <reference field="0" count="1" selected="0">
            <x v="7"/>
          </reference>
          <reference field="8" count="1" selected="0">
            <x v="0"/>
          </reference>
        </references>
      </pivotArea>
    </chartFormat>
    <chartFormat chart="23" format="3">
      <pivotArea type="data" outline="0" fieldPosition="0">
        <references count="3">
          <reference field="4294967294" count="1" selected="0">
            <x v="0"/>
          </reference>
          <reference field="0" count="1" selected="0">
            <x v="8"/>
          </reference>
          <reference field="8" count="1" selected="0">
            <x v="0"/>
          </reference>
        </references>
      </pivotArea>
    </chartFormat>
    <chartFormat chart="23" format="4">
      <pivotArea type="data" outline="0" fieldPosition="0">
        <references count="3">
          <reference field="4294967294" count="1" selected="0">
            <x v="0"/>
          </reference>
          <reference field="0" count="1" selected="0">
            <x v="9"/>
          </reference>
          <reference field="8" count="1" selected="0">
            <x v="0"/>
          </reference>
        </references>
      </pivotArea>
    </chartFormat>
    <chartFormat chart="23" format="5">
      <pivotArea type="data" outline="0" fieldPosition="0">
        <references count="3">
          <reference field="4294967294" count="1" selected="0">
            <x v="0"/>
          </reference>
          <reference field="0" count="1" selected="0">
            <x v="5"/>
          </reference>
          <reference field="8" count="1" selected="0">
            <x v="1"/>
          </reference>
        </references>
      </pivotArea>
    </chartFormat>
    <chartFormat chart="23" format="6">
      <pivotArea type="data" outline="0" fieldPosition="0">
        <references count="3">
          <reference field="4294967294" count="1" selected="0">
            <x v="0"/>
          </reference>
          <reference field="0" count="1" selected="0">
            <x v="6"/>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ADD938-DE7F-4A2B-855F-D9F9BA7FC337}"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1">
    <pivotField dataField="1" subtotalTop="0" showAll="0" defaultSubtotal="0"/>
  </pivotFields>
  <rowItems count="1">
    <i/>
  </rowItems>
  <colItems count="1">
    <i/>
  </colItems>
  <dataFields count="1">
    <dataField name="TOTAL BOOKING ORDER" fld="0" subtotal="count" baseField="0" baseItem="0">
      <extLst>
        <ext xmlns:x15="http://schemas.microsoft.com/office/spreadsheetml/2010/11/main" uri="{FABC7310-3BB5-11E1-824E-6D434824019B}">
          <x15:dataField isCountDistinct="1"/>
        </ext>
      </extLst>
    </dataField>
  </dataFields>
  <formats count="2">
    <format dxfId="262">
      <pivotArea dataOnly="0" labelOnly="1" outline="0" axis="axisValues" fieldPosition="0"/>
    </format>
    <format dxfId="261">
      <pivotArea dataOnly="0" labelOnly="1" outline="0" axis="axisValues" fieldPosition="0"/>
    </format>
  </format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BOOKING 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D7258-15A4-274D-8767-3CBBA41384D0}"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NAMA MENU">
  <location ref="D13:E23" firstHeaderRow="1" firstDataRow="1" firstDataCol="1"/>
  <pivotFields count="9">
    <pivotField numFmtId="14" showAll="0"/>
    <pivotField showAll="0"/>
    <pivotField axis="axisRow" showAll="0">
      <items count="7">
        <item x="0"/>
        <item x="1"/>
        <item x="2"/>
        <item x="3"/>
        <item x="4"/>
        <item x="5"/>
        <item t="default"/>
      </items>
    </pivotField>
    <pivotField axis="axisRow" showAll="0">
      <items count="4">
        <item x="0"/>
        <item x="1"/>
        <item x="2"/>
        <item t="default"/>
      </items>
    </pivotField>
    <pivotField dataField="1" showAll="0"/>
    <pivotField showAll="0"/>
    <pivotField showAll="0"/>
    <pivotField showAll="0"/>
    <pivotField showAll="0" defaultSubtotal="0"/>
  </pivotFields>
  <rowFields count="2">
    <field x="3"/>
    <field x="2"/>
  </rowFields>
  <rowItems count="10">
    <i>
      <x/>
    </i>
    <i r="1">
      <x/>
    </i>
    <i r="1">
      <x v="1"/>
    </i>
    <i r="1">
      <x v="2"/>
    </i>
    <i>
      <x v="1"/>
    </i>
    <i r="1">
      <x v="3"/>
    </i>
    <i r="1">
      <x v="5"/>
    </i>
    <i>
      <x v="2"/>
    </i>
    <i r="1">
      <x v="4"/>
    </i>
    <i t="grand">
      <x/>
    </i>
  </rowItems>
  <colItems count="1">
    <i/>
  </colItems>
  <dataFields count="1">
    <dataField name="JUMLAH TERJUAL" fld="4" baseField="0" baseItem="0"/>
  </dataFields>
  <formats count="33">
    <format dxfId="295">
      <pivotArea outline="0" collapsedLevelsAreSubtotals="1" fieldPosition="0"/>
    </format>
    <format dxfId="294">
      <pivotArea dataOnly="0" labelOnly="1" outline="0" axis="axisValues" fieldPosition="0"/>
    </format>
    <format dxfId="293">
      <pivotArea outline="0" collapsedLevelsAreSubtotals="1" fieldPosition="0"/>
    </format>
    <format dxfId="292">
      <pivotArea dataOnly="0" labelOnly="1" outline="0" axis="axisValues" fieldPosition="0"/>
    </format>
    <format dxfId="291">
      <pivotArea field="3" type="button" dataOnly="0" labelOnly="1" outline="0" axis="axisRow" fieldPosition="0"/>
    </format>
    <format dxfId="290">
      <pivotArea dataOnly="0" labelOnly="1" outline="0" fieldPosition="0">
        <references count="1">
          <reference field="4294967294" count="1">
            <x v="0"/>
          </reference>
        </references>
      </pivotArea>
    </format>
    <format dxfId="289">
      <pivotArea field="3" type="button" dataOnly="0" labelOnly="1" outline="0" axis="axisRow" fieldPosition="0"/>
    </format>
    <format dxfId="288">
      <pivotArea dataOnly="0" labelOnly="1" outline="0" fieldPosition="0">
        <references count="1">
          <reference field="4294967294" count="1">
            <x v="0"/>
          </reference>
        </references>
      </pivotArea>
    </format>
    <format dxfId="287">
      <pivotArea field="3" type="button" dataOnly="0" labelOnly="1" outline="0" axis="axisRow" fieldPosition="0"/>
    </format>
    <format dxfId="286">
      <pivotArea dataOnly="0" labelOnly="1" outline="0" fieldPosition="0">
        <references count="1">
          <reference field="4294967294" count="1">
            <x v="0"/>
          </reference>
        </references>
      </pivotArea>
    </format>
    <format dxfId="285">
      <pivotArea field="3" type="button" dataOnly="0" labelOnly="1" outline="0" axis="axisRow" fieldPosition="0"/>
    </format>
    <format dxfId="284">
      <pivotArea dataOnly="0" labelOnly="1" outline="0" fieldPosition="0">
        <references count="1">
          <reference field="4294967294" count="1">
            <x v="0"/>
          </reference>
        </references>
      </pivotArea>
    </format>
    <format dxfId="283">
      <pivotArea grandRow="1" outline="0" collapsedLevelsAreSubtotals="1" fieldPosition="0"/>
    </format>
    <format dxfId="282">
      <pivotArea dataOnly="0" labelOnly="1" grandRow="1" outline="0" fieldPosition="0"/>
    </format>
    <format dxfId="281">
      <pivotArea grandRow="1" outline="0" collapsedLevelsAreSubtotals="1" fieldPosition="0"/>
    </format>
    <format dxfId="280">
      <pivotArea dataOnly="0" labelOnly="1" grandRow="1" outline="0" fieldPosition="0"/>
    </format>
    <format dxfId="279">
      <pivotArea dataOnly="0" labelOnly="1" outline="0" axis="axisValues"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3" type="button" dataOnly="0" labelOnly="1" outline="0" axis="axisRow" fieldPosition="0"/>
    </format>
    <format dxfId="274">
      <pivotArea dataOnly="0" labelOnly="1" fieldPosition="0">
        <references count="1">
          <reference field="3" count="0"/>
        </references>
      </pivotArea>
    </format>
    <format dxfId="273">
      <pivotArea dataOnly="0" labelOnly="1" grandRow="1" outline="0" fieldPosition="0"/>
    </format>
    <format dxfId="272">
      <pivotArea dataOnly="0" labelOnly="1" fieldPosition="0">
        <references count="2">
          <reference field="2" count="3">
            <x v="0"/>
            <x v="1"/>
            <x v="2"/>
          </reference>
          <reference field="3" count="1" selected="0">
            <x v="0"/>
          </reference>
        </references>
      </pivotArea>
    </format>
    <format dxfId="271">
      <pivotArea dataOnly="0" labelOnly="1" fieldPosition="0">
        <references count="2">
          <reference field="2" count="2">
            <x v="3"/>
            <x v="5"/>
          </reference>
          <reference field="3" count="1" selected="0">
            <x v="1"/>
          </reference>
        </references>
      </pivotArea>
    </format>
    <format dxfId="270">
      <pivotArea dataOnly="0" labelOnly="1" fieldPosition="0">
        <references count="2">
          <reference field="2" count="1">
            <x v="4"/>
          </reference>
          <reference field="3" count="1" selected="0">
            <x v="2"/>
          </reference>
        </references>
      </pivotArea>
    </format>
    <format dxfId="269">
      <pivotArea dataOnly="0" labelOnly="1" outline="0" axis="axisValues" fieldPosition="0"/>
    </format>
    <format dxfId="268">
      <pivotArea type="all" dataOnly="0" outline="0" fieldPosition="0"/>
    </format>
    <format dxfId="267">
      <pivotArea outline="0" collapsedLevelsAreSubtotals="1" fieldPosition="0"/>
    </format>
    <format dxfId="266">
      <pivotArea field="3" type="button" dataOnly="0" labelOnly="1" outline="0" axis="axisRow" fieldPosition="0"/>
    </format>
    <format dxfId="265">
      <pivotArea dataOnly="0" labelOnly="1" fieldPosition="0">
        <references count="1">
          <reference field="3" count="0"/>
        </references>
      </pivotArea>
    </format>
    <format dxfId="264">
      <pivotArea dataOnly="0" labelOnly="1" grandRow="1" outline="0" fieldPosition="0"/>
    </format>
    <format dxfId="26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3F4571BC-FDE7-B944-8A6D-2F1A4264CB40}" sourceName="Kategori">
  <pivotTables>
    <pivotTable tabId="3" name="PivotTable4"/>
  </pivotTables>
  <data>
    <tabular pivotCacheId="677347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54B3CE6E-C9D9-3A46-B719-E5487EA0DEC0}" sourceName="Years">
  <pivotTables>
    <pivotTable tabId="3" name="PivotTable2"/>
  </pivotTables>
  <data>
    <tabular pivotCacheId="6773478">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E6249454-4B2E-B944-8CDB-963B941FD574}" cache="Slicer_Kategori" caption="Kategori Total Menu Terjual" style="merah" rowHeight="251883"/>
  <slicer name="Years" xr10:uid="{DD0D2BAE-9410-6D47-B2E6-836411506B85}" cache="Slicer_Years" caption="Years" style="mera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BD3AD9-BF59-204F-8255-A112F64240E5}" name="Table1" displayName="Table1" ref="A1:H21" totalsRowShown="0" headerRowDxfId="305" dataDxfId="304">
  <autoFilter ref="A1:H21" xr:uid="{79BD3AD9-BF59-204F-8255-A112F64240E5}"/>
  <tableColumns count="8">
    <tableColumn id="1" xr3:uid="{1443E11E-9FC0-1E43-B520-72E374FA552A}" name="Tanggal" dataDxfId="303"/>
    <tableColumn id="2" xr3:uid="{CE38A86A-31FA-EE49-A839-48780FF0F567}" name="Booking Order" dataDxfId="302"/>
    <tableColumn id="3" xr3:uid="{7E498AE2-FD38-5549-A08D-E7AC67C1095E}" name="Menu" dataDxfId="301"/>
    <tableColumn id="4" xr3:uid="{3193A937-DE6F-E84B-996E-B68A5DA270CC}" name="Kategori" dataDxfId="300"/>
    <tableColumn id="5" xr3:uid="{4E463AB4-6EBD-E94F-8E96-93953332E66E}" name="Jumlah" dataDxfId="299"/>
    <tableColumn id="6" xr3:uid="{7C223BE1-BD0F-BA47-BA32-DE0423515E8E}" name="Harga Satuan" dataDxfId="298"/>
    <tableColumn id="7" xr3:uid="{C97FCA35-C267-5542-86A6-255034DB53FE}" name="Pembayaran" dataDxfId="297"/>
    <tableColumn id="8" xr3:uid="{85034A89-1897-4C40-84B7-D140DA50B581}" name="Total" dataDxfId="29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B71B9-4CDE-074E-850E-4A6BA856BD2E}">
  <dimension ref="A1:H21"/>
  <sheetViews>
    <sheetView zoomScale="66" workbookViewId="0"/>
  </sheetViews>
  <sheetFormatPr baseColWidth="10" defaultColWidth="10.83203125" defaultRowHeight="19" x14ac:dyDescent="0.25"/>
  <cols>
    <col min="1" max="1" width="19.83203125" style="2" customWidth="1"/>
    <col min="2" max="2" width="29.1640625" style="1" customWidth="1"/>
    <col min="3" max="3" width="28.5" style="1" customWidth="1"/>
    <col min="4" max="4" width="17.33203125" style="1" customWidth="1"/>
    <col min="5" max="5" width="12.1640625" style="1" customWidth="1"/>
    <col min="6" max="6" width="17.1640625" style="1" customWidth="1"/>
    <col min="7" max="7" width="21.6640625" style="1" customWidth="1"/>
    <col min="8" max="8" width="22.83203125" style="1" customWidth="1"/>
    <col min="9" max="16384" width="10.83203125" style="1"/>
  </cols>
  <sheetData>
    <row r="1" spans="1:8" ht="31" customHeight="1" x14ac:dyDescent="0.25">
      <c r="A1" s="7" t="s">
        <v>0</v>
      </c>
      <c r="B1" s="8" t="s">
        <v>1</v>
      </c>
      <c r="C1" s="8" t="s">
        <v>2</v>
      </c>
      <c r="D1" s="8" t="s">
        <v>6</v>
      </c>
      <c r="E1" s="8" t="s">
        <v>3</v>
      </c>
      <c r="F1" s="8" t="s">
        <v>4</v>
      </c>
      <c r="G1" s="8" t="s">
        <v>40</v>
      </c>
      <c r="H1" s="8" t="s">
        <v>5</v>
      </c>
    </row>
    <row r="2" spans="1:8" ht="21" x14ac:dyDescent="0.25">
      <c r="A2" s="3">
        <v>45930</v>
      </c>
      <c r="B2" s="4" t="s">
        <v>8</v>
      </c>
      <c r="C2" s="4" t="s">
        <v>9</v>
      </c>
      <c r="D2" s="4" t="s">
        <v>10</v>
      </c>
      <c r="E2" s="4">
        <v>1</v>
      </c>
      <c r="F2" s="4">
        <v>12000</v>
      </c>
      <c r="G2" s="4" t="s">
        <v>41</v>
      </c>
      <c r="H2" s="4">
        <v>12000</v>
      </c>
    </row>
    <row r="3" spans="1:8" ht="21" x14ac:dyDescent="0.25">
      <c r="A3" s="6">
        <v>45930</v>
      </c>
      <c r="B3" s="5" t="s">
        <v>8</v>
      </c>
      <c r="C3" s="5" t="s">
        <v>13</v>
      </c>
      <c r="D3" s="5" t="s">
        <v>10</v>
      </c>
      <c r="E3" s="5">
        <v>1</v>
      </c>
      <c r="F3" s="4">
        <v>32000</v>
      </c>
      <c r="G3" s="4" t="s">
        <v>41</v>
      </c>
      <c r="H3" s="4">
        <v>32000</v>
      </c>
    </row>
    <row r="4" spans="1:8" ht="21" x14ac:dyDescent="0.25">
      <c r="A4" s="6">
        <v>45926</v>
      </c>
      <c r="B4" s="5" t="s">
        <v>14</v>
      </c>
      <c r="C4" s="5" t="s">
        <v>15</v>
      </c>
      <c r="D4" s="5" t="s">
        <v>10</v>
      </c>
      <c r="E4" s="5">
        <v>1</v>
      </c>
      <c r="F4" s="4">
        <v>12000</v>
      </c>
      <c r="G4" s="4" t="s">
        <v>42</v>
      </c>
      <c r="H4" s="4">
        <v>12000</v>
      </c>
    </row>
    <row r="5" spans="1:8" ht="21" x14ac:dyDescent="0.25">
      <c r="A5" s="6">
        <v>45893</v>
      </c>
      <c r="B5" s="5" t="s">
        <v>16</v>
      </c>
      <c r="C5" s="5" t="s">
        <v>13</v>
      </c>
      <c r="D5" s="5" t="s">
        <v>10</v>
      </c>
      <c r="E5" s="5">
        <v>1</v>
      </c>
      <c r="F5" s="4">
        <v>32000</v>
      </c>
      <c r="G5" s="4" t="s">
        <v>41</v>
      </c>
      <c r="H5" s="4">
        <v>32000</v>
      </c>
    </row>
    <row r="6" spans="1:8" ht="21" x14ac:dyDescent="0.25">
      <c r="A6" s="6">
        <v>45892</v>
      </c>
      <c r="B6" s="5" t="s">
        <v>17</v>
      </c>
      <c r="C6" s="5" t="s">
        <v>18</v>
      </c>
      <c r="D6" s="5" t="s">
        <v>19</v>
      </c>
      <c r="E6" s="5">
        <v>1</v>
      </c>
      <c r="F6" s="4">
        <v>4000</v>
      </c>
      <c r="G6" s="4" t="s">
        <v>41</v>
      </c>
      <c r="H6" s="4">
        <v>4000</v>
      </c>
    </row>
    <row r="7" spans="1:8" ht="21" x14ac:dyDescent="0.25">
      <c r="A7" s="6">
        <v>45892</v>
      </c>
      <c r="B7" s="5" t="s">
        <v>20</v>
      </c>
      <c r="C7" s="5" t="s">
        <v>21</v>
      </c>
      <c r="D7" s="5" t="s">
        <v>22</v>
      </c>
      <c r="E7" s="5">
        <v>1</v>
      </c>
      <c r="F7" s="4">
        <v>8000</v>
      </c>
      <c r="G7" s="4" t="s">
        <v>42</v>
      </c>
      <c r="H7" s="4">
        <v>8000</v>
      </c>
    </row>
    <row r="8" spans="1:8" ht="21" x14ac:dyDescent="0.25">
      <c r="A8" s="6">
        <v>45891</v>
      </c>
      <c r="B8" s="5" t="s">
        <v>23</v>
      </c>
      <c r="C8" s="5" t="s">
        <v>18</v>
      </c>
      <c r="D8" s="5" t="s">
        <v>19</v>
      </c>
      <c r="E8" s="5">
        <v>1</v>
      </c>
      <c r="F8" s="4">
        <v>4000</v>
      </c>
      <c r="G8" s="4" t="s">
        <v>42</v>
      </c>
      <c r="H8" s="4">
        <v>4000</v>
      </c>
    </row>
    <row r="9" spans="1:8" ht="21" x14ac:dyDescent="0.25">
      <c r="A9" s="6">
        <v>45856</v>
      </c>
      <c r="B9" s="5" t="s">
        <v>24</v>
      </c>
      <c r="C9" s="5" t="s">
        <v>9</v>
      </c>
      <c r="D9" s="5" t="s">
        <v>10</v>
      </c>
      <c r="E9" s="5">
        <v>1</v>
      </c>
      <c r="F9" s="4">
        <v>30000</v>
      </c>
      <c r="G9" s="4" t="s">
        <v>41</v>
      </c>
      <c r="H9" s="4">
        <v>30000</v>
      </c>
    </row>
    <row r="10" spans="1:8" ht="21" x14ac:dyDescent="0.25">
      <c r="A10" s="6">
        <v>45853</v>
      </c>
      <c r="B10" s="5" t="s">
        <v>25</v>
      </c>
      <c r="C10" s="5" t="s">
        <v>9</v>
      </c>
      <c r="D10" s="5" t="s">
        <v>10</v>
      </c>
      <c r="E10" s="5">
        <v>1</v>
      </c>
      <c r="F10" s="4">
        <v>30000</v>
      </c>
      <c r="G10" s="4" t="s">
        <v>42</v>
      </c>
      <c r="H10" s="4">
        <v>30000</v>
      </c>
    </row>
    <row r="11" spans="1:8" ht="21" x14ac:dyDescent="0.25">
      <c r="A11" s="6">
        <v>45853</v>
      </c>
      <c r="B11" s="5" t="s">
        <v>25</v>
      </c>
      <c r="C11" s="5" t="s">
        <v>26</v>
      </c>
      <c r="D11" s="5" t="s">
        <v>19</v>
      </c>
      <c r="E11" s="5">
        <v>1</v>
      </c>
      <c r="F11" s="4">
        <v>14000</v>
      </c>
      <c r="G11" s="4" t="s">
        <v>42</v>
      </c>
      <c r="H11" s="4">
        <v>14000</v>
      </c>
    </row>
    <row r="12" spans="1:8" ht="21" x14ac:dyDescent="0.25">
      <c r="A12" s="6">
        <v>45853</v>
      </c>
      <c r="B12" s="5" t="s">
        <v>27</v>
      </c>
      <c r="C12" s="5" t="s">
        <v>9</v>
      </c>
      <c r="D12" s="5" t="s">
        <v>10</v>
      </c>
      <c r="E12" s="5">
        <v>1</v>
      </c>
      <c r="F12" s="4">
        <v>30000</v>
      </c>
      <c r="G12" s="4" t="s">
        <v>41</v>
      </c>
      <c r="H12" s="4">
        <v>30000</v>
      </c>
    </row>
    <row r="13" spans="1:8" ht="21" x14ac:dyDescent="0.25">
      <c r="A13" s="6">
        <v>45823</v>
      </c>
      <c r="B13" s="5" t="s">
        <v>27</v>
      </c>
      <c r="C13" s="5" t="s">
        <v>13</v>
      </c>
      <c r="D13" s="5" t="s">
        <v>10</v>
      </c>
      <c r="E13" s="5">
        <v>1</v>
      </c>
      <c r="F13" s="4">
        <v>32000</v>
      </c>
      <c r="G13" s="4" t="s">
        <v>41</v>
      </c>
      <c r="H13" s="4">
        <v>32000</v>
      </c>
    </row>
    <row r="14" spans="1:8" ht="21" x14ac:dyDescent="0.25">
      <c r="A14" s="6">
        <v>45821</v>
      </c>
      <c r="B14" s="5" t="s">
        <v>28</v>
      </c>
      <c r="C14" s="5" t="s">
        <v>18</v>
      </c>
      <c r="D14" s="5" t="s">
        <v>19</v>
      </c>
      <c r="E14" s="5">
        <v>1</v>
      </c>
      <c r="F14" s="4">
        <v>4000</v>
      </c>
      <c r="G14" s="4" t="s">
        <v>41</v>
      </c>
      <c r="H14" s="4">
        <v>4000</v>
      </c>
    </row>
    <row r="15" spans="1:8" ht="21" x14ac:dyDescent="0.25">
      <c r="A15" s="6">
        <v>45820</v>
      </c>
      <c r="B15" s="5" t="s">
        <v>29</v>
      </c>
      <c r="C15" s="5" t="s">
        <v>18</v>
      </c>
      <c r="D15" s="5" t="s">
        <v>19</v>
      </c>
      <c r="E15" s="5">
        <v>1</v>
      </c>
      <c r="F15" s="4">
        <v>4000</v>
      </c>
      <c r="G15" s="4" t="s">
        <v>42</v>
      </c>
      <c r="H15" s="4">
        <v>4000</v>
      </c>
    </row>
    <row r="16" spans="1:8" ht="21" x14ac:dyDescent="0.25">
      <c r="A16" s="6">
        <v>45789</v>
      </c>
      <c r="B16" s="5" t="s">
        <v>30</v>
      </c>
      <c r="C16" s="5" t="s">
        <v>21</v>
      </c>
      <c r="D16" s="5" t="s">
        <v>22</v>
      </c>
      <c r="E16" s="5">
        <v>1</v>
      </c>
      <c r="F16" s="4">
        <v>8000</v>
      </c>
      <c r="G16" s="4" t="s">
        <v>42</v>
      </c>
      <c r="H16" s="4">
        <v>8000</v>
      </c>
    </row>
    <row r="17" spans="1:8" ht="21" x14ac:dyDescent="0.25">
      <c r="A17" s="6">
        <v>45789</v>
      </c>
      <c r="B17" s="5" t="s">
        <v>31</v>
      </c>
      <c r="C17" s="5" t="s">
        <v>21</v>
      </c>
      <c r="D17" s="5" t="s">
        <v>22</v>
      </c>
      <c r="E17" s="5">
        <v>1</v>
      </c>
      <c r="F17" s="4">
        <v>8000</v>
      </c>
      <c r="G17" s="4" t="s">
        <v>41</v>
      </c>
      <c r="H17" s="4">
        <v>8000</v>
      </c>
    </row>
    <row r="18" spans="1:8" ht="21" x14ac:dyDescent="0.25">
      <c r="A18" s="6">
        <v>45789</v>
      </c>
      <c r="B18" s="5" t="s">
        <v>32</v>
      </c>
      <c r="C18" s="5" t="s">
        <v>21</v>
      </c>
      <c r="D18" s="5" t="s">
        <v>22</v>
      </c>
      <c r="E18" s="5">
        <v>1</v>
      </c>
      <c r="F18" s="4">
        <v>8000</v>
      </c>
      <c r="G18" s="4" t="s">
        <v>42</v>
      </c>
      <c r="H18" s="4">
        <v>8000</v>
      </c>
    </row>
    <row r="19" spans="1:8" ht="21" x14ac:dyDescent="0.25">
      <c r="A19" s="6">
        <v>45789</v>
      </c>
      <c r="B19" s="5" t="s">
        <v>33</v>
      </c>
      <c r="C19" s="5" t="s">
        <v>26</v>
      </c>
      <c r="D19" s="5" t="s">
        <v>19</v>
      </c>
      <c r="E19" s="5">
        <v>2</v>
      </c>
      <c r="F19" s="4">
        <v>14000</v>
      </c>
      <c r="G19" s="4" t="s">
        <v>42</v>
      </c>
      <c r="H19" s="4">
        <v>14000</v>
      </c>
    </row>
    <row r="20" spans="1:8" ht="21" x14ac:dyDescent="0.25">
      <c r="A20" s="6">
        <v>45424</v>
      </c>
      <c r="B20" s="5" t="s">
        <v>34</v>
      </c>
      <c r="C20" s="5" t="s">
        <v>21</v>
      </c>
      <c r="D20" s="5" t="s">
        <v>22</v>
      </c>
      <c r="E20" s="5">
        <v>1</v>
      </c>
      <c r="F20" s="4">
        <v>8000</v>
      </c>
      <c r="G20" s="4" t="s">
        <v>42</v>
      </c>
      <c r="H20" s="4">
        <v>8000</v>
      </c>
    </row>
    <row r="21" spans="1:8" ht="21" x14ac:dyDescent="0.25">
      <c r="A21" s="6">
        <v>45424</v>
      </c>
      <c r="B21" s="5" t="s">
        <v>35</v>
      </c>
      <c r="C21" s="5" t="s">
        <v>21</v>
      </c>
      <c r="D21" s="5" t="s">
        <v>22</v>
      </c>
      <c r="E21" s="5">
        <v>1</v>
      </c>
      <c r="F21" s="4">
        <v>8000</v>
      </c>
      <c r="G21" s="4" t="s">
        <v>41</v>
      </c>
      <c r="H21" s="4">
        <v>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173A-0A0D-4647-89A1-909172897764}">
  <dimension ref="A4:K42"/>
  <sheetViews>
    <sheetView showGridLines="0" tabSelected="1" zoomScale="158" zoomScaleNormal="54" workbookViewId="0">
      <selection activeCell="G7" sqref="G7"/>
    </sheetView>
  </sheetViews>
  <sheetFormatPr baseColWidth="10" defaultColWidth="11.1640625" defaultRowHeight="16" x14ac:dyDescent="0.2"/>
  <cols>
    <col min="1" max="1" width="27.6640625" bestFit="1" customWidth="1"/>
    <col min="2" max="2" width="15.5" bestFit="1" customWidth="1"/>
    <col min="3" max="3" width="4.6640625" customWidth="1"/>
    <col min="4" max="4" width="20" bestFit="1" customWidth="1"/>
    <col min="5" max="5" width="14.6640625" style="10" bestFit="1" customWidth="1"/>
    <col min="6" max="6" width="4.83203125" customWidth="1"/>
    <col min="7" max="7" width="16.5" style="11" bestFit="1" customWidth="1"/>
    <col min="8" max="8" width="14.6640625" bestFit="1" customWidth="1"/>
    <col min="9" max="9" width="5.5" customWidth="1"/>
    <col min="10" max="10" width="24.33203125" bestFit="1" customWidth="1"/>
    <col min="11" max="11" width="19.5" bestFit="1" customWidth="1"/>
    <col min="12" max="12" width="20.6640625" bestFit="1" customWidth="1"/>
    <col min="13" max="13" width="7.5" bestFit="1" customWidth="1"/>
    <col min="14" max="14" width="10.83203125" bestFit="1" customWidth="1"/>
    <col min="15" max="15" width="4.1640625" bestFit="1" customWidth="1"/>
    <col min="16" max="16" width="13" bestFit="1" customWidth="1"/>
    <col min="17" max="17" width="19" bestFit="1" customWidth="1"/>
  </cols>
  <sheetData>
    <row r="4" spans="1:11" ht="17" thickBot="1" x14ac:dyDescent="0.25"/>
    <row r="5" spans="1:11" ht="16" customHeight="1" thickTop="1" x14ac:dyDescent="0.2">
      <c r="A5" s="29"/>
      <c r="B5" s="30"/>
      <c r="C5" s="22"/>
    </row>
    <row r="6" spans="1:11" ht="16" customHeight="1" thickBot="1" x14ac:dyDescent="0.25">
      <c r="A6" s="31"/>
      <c r="B6" s="32"/>
      <c r="C6" s="22"/>
    </row>
    <row r="7" spans="1:11" ht="17" thickTop="1" x14ac:dyDescent="0.2"/>
    <row r="8" spans="1:11" x14ac:dyDescent="0.2">
      <c r="A8" s="9" t="s">
        <v>43</v>
      </c>
      <c r="D8" s="9" t="s">
        <v>49</v>
      </c>
      <c r="E8"/>
      <c r="G8" s="28" t="s">
        <v>51</v>
      </c>
    </row>
    <row r="9" spans="1:11" x14ac:dyDescent="0.2">
      <c r="A9" s="49">
        <v>299000</v>
      </c>
      <c r="D9" s="48">
        <v>21</v>
      </c>
      <c r="E9"/>
      <c r="G9">
        <v>17</v>
      </c>
    </row>
    <row r="10" spans="1:11" x14ac:dyDescent="0.2">
      <c r="F10" s="11"/>
      <c r="G10"/>
    </row>
    <row r="11" spans="1:11" x14ac:dyDescent="0.2">
      <c r="F11" s="11"/>
      <c r="G11"/>
    </row>
    <row r="12" spans="1:11" x14ac:dyDescent="0.2">
      <c r="F12" s="11"/>
      <c r="G12"/>
    </row>
    <row r="13" spans="1:11" x14ac:dyDescent="0.2">
      <c r="A13" s="9" t="s">
        <v>50</v>
      </c>
      <c r="B13" s="9" t="s">
        <v>43</v>
      </c>
      <c r="C13" s="12"/>
      <c r="D13" s="9" t="s">
        <v>44</v>
      </c>
      <c r="E13" s="9" t="s">
        <v>45</v>
      </c>
      <c r="F13" s="13"/>
      <c r="G13" s="9" t="s">
        <v>44</v>
      </c>
      <c r="H13" s="9" t="s">
        <v>45</v>
      </c>
      <c r="I13" s="12"/>
      <c r="J13" s="9" t="s">
        <v>46</v>
      </c>
      <c r="K13" s="9" t="s">
        <v>47</v>
      </c>
    </row>
    <row r="14" spans="1:11" x14ac:dyDescent="0.2">
      <c r="A14" s="17" t="s">
        <v>11</v>
      </c>
      <c r="B14" s="18">
        <v>286000</v>
      </c>
      <c r="C14" s="12"/>
      <c r="D14" s="17" t="s">
        <v>10</v>
      </c>
      <c r="E14" s="46">
        <v>8</v>
      </c>
      <c r="F14" s="13"/>
      <c r="G14" s="17" t="s">
        <v>21</v>
      </c>
      <c r="H14" s="50">
        <v>6</v>
      </c>
      <c r="I14" s="12"/>
      <c r="J14" s="17" t="s">
        <v>41</v>
      </c>
      <c r="K14" s="46">
        <v>10</v>
      </c>
    </row>
    <row r="15" spans="1:11" x14ac:dyDescent="0.2">
      <c r="A15" s="19" t="s">
        <v>36</v>
      </c>
      <c r="B15" s="18">
        <v>38000</v>
      </c>
      <c r="C15" s="12"/>
      <c r="D15" s="21" t="s">
        <v>9</v>
      </c>
      <c r="E15" s="46">
        <v>4</v>
      </c>
      <c r="F15" s="13"/>
      <c r="G15" s="17" t="s">
        <v>18</v>
      </c>
      <c r="H15" s="50">
        <v>4</v>
      </c>
      <c r="I15" s="12"/>
      <c r="J15" s="17" t="s">
        <v>42</v>
      </c>
      <c r="K15" s="46">
        <v>10</v>
      </c>
    </row>
    <row r="16" spans="1:11" x14ac:dyDescent="0.2">
      <c r="A16" s="19" t="s">
        <v>37</v>
      </c>
      <c r="B16" s="18">
        <v>40000</v>
      </c>
      <c r="C16" s="12"/>
      <c r="D16" s="21" t="s">
        <v>13</v>
      </c>
      <c r="E16" s="46">
        <v>3</v>
      </c>
      <c r="F16" s="12"/>
      <c r="G16" s="17" t="s">
        <v>9</v>
      </c>
      <c r="H16" s="50">
        <v>4</v>
      </c>
      <c r="I16" s="12"/>
      <c r="J16" s="14" t="s">
        <v>7</v>
      </c>
      <c r="K16" s="47">
        <v>20</v>
      </c>
    </row>
    <row r="17" spans="1:11" x14ac:dyDescent="0.2">
      <c r="A17" s="19" t="s">
        <v>38</v>
      </c>
      <c r="B17" s="18">
        <v>104000</v>
      </c>
      <c r="C17" s="12"/>
      <c r="D17" s="21" t="s">
        <v>15</v>
      </c>
      <c r="E17" s="46">
        <v>1</v>
      </c>
      <c r="F17" s="13"/>
      <c r="G17" s="17" t="s">
        <v>26</v>
      </c>
      <c r="H17" s="50">
        <v>3</v>
      </c>
      <c r="I17" s="12"/>
      <c r="J17" s="12"/>
      <c r="K17" s="12"/>
    </row>
    <row r="18" spans="1:11" x14ac:dyDescent="0.2">
      <c r="A18" s="19" t="s">
        <v>39</v>
      </c>
      <c r="B18" s="18">
        <v>48000</v>
      </c>
      <c r="C18" s="12"/>
      <c r="D18" s="17" t="s">
        <v>19</v>
      </c>
      <c r="E18" s="46">
        <v>7</v>
      </c>
      <c r="F18" s="13"/>
      <c r="G18" s="17" t="s">
        <v>13</v>
      </c>
      <c r="H18" s="50">
        <v>3</v>
      </c>
      <c r="I18" s="12"/>
      <c r="J18" s="12"/>
      <c r="K18" s="12"/>
    </row>
    <row r="19" spans="1:11" x14ac:dyDescent="0.2">
      <c r="A19" s="19" t="s">
        <v>12</v>
      </c>
      <c r="B19" s="18">
        <v>56000</v>
      </c>
      <c r="C19" s="12"/>
      <c r="D19" s="21" t="s">
        <v>18</v>
      </c>
      <c r="E19" s="46">
        <v>4</v>
      </c>
      <c r="F19" s="13"/>
      <c r="G19"/>
      <c r="I19" s="12"/>
      <c r="J19" s="12"/>
      <c r="K19" s="12"/>
    </row>
    <row r="20" spans="1:11" x14ac:dyDescent="0.2">
      <c r="A20" s="17" t="s">
        <v>48</v>
      </c>
      <c r="B20" s="18">
        <v>13000</v>
      </c>
      <c r="C20" s="12"/>
      <c r="D20" s="21" t="s">
        <v>26</v>
      </c>
      <c r="E20" s="46">
        <v>3</v>
      </c>
      <c r="F20" s="13"/>
      <c r="G20" s="12"/>
      <c r="H20" s="12"/>
      <c r="I20" s="12"/>
      <c r="J20" s="12"/>
      <c r="K20" s="12"/>
    </row>
    <row r="21" spans="1:11" x14ac:dyDescent="0.2">
      <c r="A21" s="19" t="s">
        <v>36</v>
      </c>
      <c r="B21" s="18">
        <v>13000</v>
      </c>
      <c r="C21" s="12"/>
      <c r="D21" s="17" t="s">
        <v>22</v>
      </c>
      <c r="E21" s="46">
        <v>6</v>
      </c>
      <c r="F21" s="13"/>
      <c r="G21" s="12"/>
      <c r="H21" s="12"/>
      <c r="I21" s="12"/>
      <c r="J21" s="12"/>
      <c r="K21" s="12"/>
    </row>
    <row r="22" spans="1:11" x14ac:dyDescent="0.2">
      <c r="A22" s="15" t="s">
        <v>7</v>
      </c>
      <c r="B22" s="16">
        <v>299000</v>
      </c>
      <c r="C22" s="12"/>
      <c r="D22" s="21" t="s">
        <v>21</v>
      </c>
      <c r="E22" s="46">
        <v>6</v>
      </c>
      <c r="F22" s="12"/>
      <c r="G22"/>
      <c r="J22" s="12"/>
      <c r="K22" s="12"/>
    </row>
    <row r="23" spans="1:11" x14ac:dyDescent="0.2">
      <c r="A23" s="12"/>
      <c r="B23" s="12"/>
      <c r="C23" s="12"/>
      <c r="D23" s="15" t="s">
        <v>7</v>
      </c>
      <c r="E23" s="47">
        <v>21</v>
      </c>
      <c r="F23" s="13"/>
      <c r="G23"/>
    </row>
    <row r="24" spans="1:11" x14ac:dyDescent="0.2">
      <c r="E24"/>
      <c r="G24"/>
    </row>
    <row r="25" spans="1:11" x14ac:dyDescent="0.2">
      <c r="E25"/>
      <c r="G25"/>
    </row>
    <row r="26" spans="1:11" x14ac:dyDescent="0.2">
      <c r="E26"/>
      <c r="G26"/>
    </row>
    <row r="27" spans="1:11" x14ac:dyDescent="0.2">
      <c r="E27"/>
      <c r="G27"/>
    </row>
    <row r="28" spans="1:11" x14ac:dyDescent="0.2">
      <c r="E28"/>
      <c r="G28"/>
    </row>
    <row r="29" spans="1:11" x14ac:dyDescent="0.2">
      <c r="E29"/>
      <c r="G29"/>
    </row>
    <row r="30" spans="1:11" x14ac:dyDescent="0.2">
      <c r="E30"/>
      <c r="G30"/>
    </row>
    <row r="31" spans="1:11" x14ac:dyDescent="0.2">
      <c r="E31"/>
      <c r="G31"/>
    </row>
    <row r="32" spans="1:11" x14ac:dyDescent="0.2">
      <c r="E32"/>
      <c r="G32"/>
    </row>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sheetData>
  <mergeCells count="1">
    <mergeCell ref="A5:B6"/>
  </mergeCells>
  <pageMargins left="0.7" right="0.7" top="0.75" bottom="0.75" header="0.3" footer="0.3"/>
  <pageSetup paperSize="9" orientation="portrait" horizontalDpi="0" verticalDpi="0"/>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891C-1502-7844-83FE-793F866B9C06}">
  <dimension ref="B5:S15"/>
  <sheetViews>
    <sheetView showGridLines="0" topLeftCell="A2" zoomScale="116" zoomScaleNormal="94" workbookViewId="0">
      <selection activeCell="O13" sqref="O13:S15"/>
    </sheetView>
  </sheetViews>
  <sheetFormatPr baseColWidth="10" defaultColWidth="11.1640625" defaultRowHeight="16" x14ac:dyDescent="0.2"/>
  <cols>
    <col min="1" max="16384" width="11.1640625" style="20"/>
  </cols>
  <sheetData>
    <row r="5" spans="2:19" ht="17" thickBot="1" x14ac:dyDescent="0.25"/>
    <row r="6" spans="2:19" ht="16" customHeight="1" x14ac:dyDescent="0.2">
      <c r="H6" s="35"/>
      <c r="I6" s="36"/>
      <c r="J6" s="36"/>
      <c r="K6" s="36"/>
      <c r="L6" s="36"/>
      <c r="M6" s="36"/>
      <c r="N6" s="37"/>
    </row>
    <row r="7" spans="2:19" ht="16" customHeight="1" x14ac:dyDescent="0.2">
      <c r="H7" s="38"/>
      <c r="I7" s="39"/>
      <c r="J7" s="39"/>
      <c r="K7" s="39"/>
      <c r="L7" s="39"/>
      <c r="M7" s="39"/>
      <c r="N7" s="40"/>
    </row>
    <row r="8" spans="2:19" ht="16" customHeight="1" thickBot="1" x14ac:dyDescent="0.3">
      <c r="B8" s="23"/>
      <c r="C8" s="23"/>
      <c r="D8" s="23"/>
      <c r="E8" s="23"/>
      <c r="F8" s="23"/>
      <c r="H8" s="41"/>
      <c r="I8" s="42"/>
      <c r="J8" s="42"/>
      <c r="K8" s="42"/>
      <c r="L8" s="42"/>
      <c r="M8" s="42"/>
      <c r="N8" s="43"/>
      <c r="P8" s="25"/>
      <c r="Q8" s="25"/>
      <c r="R8" s="25"/>
    </row>
    <row r="9" spans="2:19" ht="16" customHeight="1" x14ac:dyDescent="0.25">
      <c r="B9" s="23"/>
      <c r="C9" s="23"/>
      <c r="D9" s="23"/>
      <c r="E9" s="23"/>
      <c r="F9" s="23"/>
      <c r="H9" s="23"/>
      <c r="I9" s="23"/>
      <c r="J9" s="23"/>
      <c r="K9" s="23"/>
      <c r="L9" s="23"/>
      <c r="N9" s="25"/>
      <c r="O9" s="25"/>
      <c r="P9" s="25"/>
      <c r="Q9" s="25"/>
      <c r="R9" s="25"/>
    </row>
    <row r="10" spans="2:19" ht="16" customHeight="1" x14ac:dyDescent="0.25">
      <c r="B10" s="23"/>
      <c r="C10" s="23"/>
      <c r="D10" s="23"/>
      <c r="E10" s="23"/>
      <c r="F10" s="23"/>
      <c r="H10" s="24">
        <f>GETPIVOTDATA("Total Menu terjual",data!$D$8)</f>
        <v>21</v>
      </c>
      <c r="I10" s="24"/>
      <c r="J10" s="24"/>
      <c r="K10" s="24"/>
      <c r="L10" s="24"/>
      <c r="N10" s="26"/>
      <c r="O10" s="26"/>
      <c r="P10" s="26"/>
      <c r="Q10" s="26"/>
      <c r="R10" s="26"/>
    </row>
    <row r="11" spans="2:19" ht="16" customHeight="1" x14ac:dyDescent="0.25">
      <c r="C11" s="45" t="s">
        <v>43</v>
      </c>
      <c r="D11" s="45"/>
      <c r="E11" s="45"/>
      <c r="F11" s="45"/>
      <c r="G11" s="45"/>
      <c r="I11" s="33" t="s">
        <v>49</v>
      </c>
      <c r="J11" s="33"/>
      <c r="K11" s="33"/>
      <c r="L11" s="33"/>
      <c r="M11" s="33"/>
      <c r="N11" s="23"/>
      <c r="O11" s="33" t="s">
        <v>51</v>
      </c>
      <c r="P11" s="33"/>
      <c r="Q11" s="33"/>
      <c r="R11" s="33"/>
      <c r="S11" s="33"/>
    </row>
    <row r="12" spans="2:19" ht="16" customHeight="1" x14ac:dyDescent="0.25">
      <c r="C12" s="45"/>
      <c r="D12" s="45"/>
      <c r="E12" s="45"/>
      <c r="F12" s="45"/>
      <c r="G12" s="45"/>
      <c r="I12" s="33"/>
      <c r="J12" s="33"/>
      <c r="K12" s="33"/>
      <c r="L12" s="33"/>
      <c r="M12" s="33"/>
      <c r="N12" s="23"/>
      <c r="O12" s="33"/>
      <c r="P12" s="33"/>
      <c r="Q12" s="33"/>
      <c r="R12" s="33"/>
      <c r="S12" s="33"/>
    </row>
    <row r="13" spans="2:19" ht="16" customHeight="1" x14ac:dyDescent="0.2">
      <c r="C13" s="44">
        <f>GETPIVOTDATA("Total",data!$A$8)</f>
        <v>299000</v>
      </c>
      <c r="D13" s="44"/>
      <c r="E13" s="44"/>
      <c r="F13" s="44"/>
      <c r="G13" s="44"/>
      <c r="I13" s="34">
        <f>GETPIVOTDATA("Total Menu Terjual",data!$D$8)</f>
        <v>21</v>
      </c>
      <c r="J13" s="34"/>
      <c r="K13" s="34"/>
      <c r="L13" s="34"/>
      <c r="M13" s="34"/>
      <c r="N13" s="27"/>
      <c r="O13" s="34">
        <f>GETPIVOTDATA("Total Menu Terjual",data!$D$8)</f>
        <v>21</v>
      </c>
      <c r="P13" s="34"/>
      <c r="Q13" s="34"/>
      <c r="R13" s="34"/>
      <c r="S13" s="34"/>
    </row>
    <row r="14" spans="2:19" ht="16" customHeight="1" x14ac:dyDescent="0.2">
      <c r="C14" s="44"/>
      <c r="D14" s="44"/>
      <c r="E14" s="44"/>
      <c r="F14" s="44"/>
      <c r="G14" s="44"/>
      <c r="I14" s="34"/>
      <c r="J14" s="34"/>
      <c r="K14" s="34"/>
      <c r="L14" s="34"/>
      <c r="M14" s="34"/>
      <c r="N14" s="27"/>
      <c r="O14" s="34"/>
      <c r="P14" s="34"/>
      <c r="Q14" s="34"/>
      <c r="R14" s="34"/>
      <c r="S14" s="34"/>
    </row>
    <row r="15" spans="2:19" ht="16" customHeight="1" x14ac:dyDescent="0.2">
      <c r="C15" s="44"/>
      <c r="D15" s="44"/>
      <c r="E15" s="44"/>
      <c r="F15" s="44"/>
      <c r="G15" s="44"/>
      <c r="I15" s="34"/>
      <c r="J15" s="34"/>
      <c r="K15" s="34"/>
      <c r="L15" s="34"/>
      <c r="M15" s="34"/>
      <c r="N15" s="27"/>
      <c r="O15" s="34"/>
      <c r="P15" s="34"/>
      <c r="Q15" s="34"/>
      <c r="R15" s="34"/>
      <c r="S15" s="34"/>
    </row>
  </sheetData>
  <mergeCells count="7">
    <mergeCell ref="O11:S12"/>
    <mergeCell ref="O13:S15"/>
    <mergeCell ref="H6:N8"/>
    <mergeCell ref="C13:G15"/>
    <mergeCell ref="C11:G12"/>
    <mergeCell ref="I11:M12"/>
    <mergeCell ref="I13:M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grafik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himawanazhar1@gmail.com</dc:creator>
  <cp:lastModifiedBy>himawanazhar1@gmail.com</cp:lastModifiedBy>
  <dcterms:created xsi:type="dcterms:W3CDTF">2025-10-09T04:59:28Z</dcterms:created>
  <dcterms:modified xsi:type="dcterms:W3CDTF">2025-10-15T03:39:18Z</dcterms:modified>
</cp:coreProperties>
</file>